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Dhez\Final_assessment\"/>
    </mc:Choice>
  </mc:AlternateContent>
  <xr:revisionPtr revIDLastSave="0" documentId="8_{CC3B1456-6FD2-4DF2-A3AE-4FEC9F671AC8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InstitutionalAssessment_transac" sheetId="1" r:id="rId1"/>
    <sheet name="Descriptive Statistics" sheetId="2" r:id="rId2"/>
    <sheet name="Histogr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C7" i="2"/>
  <c r="B7" i="2"/>
  <c r="B6" i="2"/>
  <c r="C5" i="2"/>
  <c r="B5" i="2"/>
  <c r="B16" i="2"/>
  <c r="B15" i="2"/>
  <c r="B14" i="2"/>
  <c r="B13" i="2"/>
  <c r="B12" i="2"/>
  <c r="C6" i="2"/>
</calcChain>
</file>

<file path=xl/sharedStrings.xml><?xml version="1.0" encoding="utf-8"?>
<sst xmlns="http://schemas.openxmlformats.org/spreadsheetml/2006/main" count="881" uniqueCount="455">
  <si>
    <t>Transaction Id</t>
  </si>
  <si>
    <t>Date</t>
  </si>
  <si>
    <t>Store Id</t>
  </si>
  <si>
    <t>Product Id</t>
  </si>
  <si>
    <t>Units</t>
  </si>
  <si>
    <t>Unit Price</t>
  </si>
  <si>
    <t>Total Amount</t>
  </si>
  <si>
    <t>T00115</t>
  </si>
  <si>
    <t>2/2/2025</t>
  </si>
  <si>
    <t>S004</t>
  </si>
  <si>
    <t>P201</t>
  </si>
  <si>
    <t>T00142</t>
  </si>
  <si>
    <t>10/3/2025</t>
  </si>
  <si>
    <t>S006</t>
  </si>
  <si>
    <t>P301</t>
  </si>
  <si>
    <t>T00058</t>
  </si>
  <si>
    <t>2025-09-18</t>
  </si>
  <si>
    <t>P202</t>
  </si>
  <si>
    <t>T00124</t>
  </si>
  <si>
    <t>11/26/2025</t>
  </si>
  <si>
    <t>P101</t>
  </si>
  <si>
    <t>T00107</t>
  </si>
  <si>
    <t>2025-08-26</t>
  </si>
  <si>
    <t>S002</t>
  </si>
  <si>
    <t>T00143</t>
  </si>
  <si>
    <t>5/18/2025</t>
  </si>
  <si>
    <t>P402</t>
  </si>
  <si>
    <t>T00028</t>
  </si>
  <si>
    <t>May 15, 2025</t>
  </si>
  <si>
    <t>P403</t>
  </si>
  <si>
    <t>T00079</t>
  </si>
  <si>
    <t>Jul 01, 2025</t>
  </si>
  <si>
    <t>P204</t>
  </si>
  <si>
    <t>T00032</t>
  </si>
  <si>
    <t>2025-06-07</t>
  </si>
  <si>
    <t>S001</t>
  </si>
  <si>
    <t>P104</t>
  </si>
  <si>
    <t>T00146</t>
  </si>
  <si>
    <t>4/19/2025</t>
  </si>
  <si>
    <t>S003</t>
  </si>
  <si>
    <t>T00120</t>
  </si>
  <si>
    <t>2025-04-23</t>
  </si>
  <si>
    <t>S005</t>
  </si>
  <si>
    <t>T00052</t>
  </si>
  <si>
    <t>2025-07-25</t>
  </si>
  <si>
    <t>P404</t>
  </si>
  <si>
    <t>T00081</t>
  </si>
  <si>
    <t>6/20/2025</t>
  </si>
  <si>
    <t>T00080</t>
  </si>
  <si>
    <t>2025-03-25</t>
  </si>
  <si>
    <t>T00065</t>
  </si>
  <si>
    <t>2025-10-03</t>
  </si>
  <si>
    <t>T00166</t>
  </si>
  <si>
    <t>Aug 02, 2025</t>
  </si>
  <si>
    <t>T00094</t>
  </si>
  <si>
    <t>6/8/2025</t>
  </si>
  <si>
    <t>P302</t>
  </si>
  <si>
    <t>T00123</t>
  </si>
  <si>
    <t>Oct 31, 2025</t>
  </si>
  <si>
    <t>T00145</t>
  </si>
  <si>
    <t>1/15/2025</t>
  </si>
  <si>
    <t>P401</t>
  </si>
  <si>
    <t>T00056</t>
  </si>
  <si>
    <t>2025-10-05</t>
  </si>
  <si>
    <t>P102</t>
  </si>
  <si>
    <t>T00180</t>
  </si>
  <si>
    <t>2025-11-03</t>
  </si>
  <si>
    <t>T00178</t>
  </si>
  <si>
    <t>2025-08-28</t>
  </si>
  <si>
    <t>T00016</t>
  </si>
  <si>
    <t>8/25/2025</t>
  </si>
  <si>
    <t>T00067</t>
  </si>
  <si>
    <t>3/22/2025</t>
  </si>
  <si>
    <t>P304</t>
  </si>
  <si>
    <t>T00101</t>
  </si>
  <si>
    <t>Sep 21, 2025</t>
  </si>
  <si>
    <t>P103</t>
  </si>
  <si>
    <t>T00186</t>
  </si>
  <si>
    <t>2025-12-10</t>
  </si>
  <si>
    <t>P303</t>
  </si>
  <si>
    <t>T00069</t>
  </si>
  <si>
    <t>2025-03-10</t>
  </si>
  <si>
    <t>T00194</t>
  </si>
  <si>
    <t>2025-05-03</t>
  </si>
  <si>
    <t>T00027</t>
  </si>
  <si>
    <t>5/31/2025</t>
  </si>
  <si>
    <t>T00155</t>
  </si>
  <si>
    <t>2025-06-11</t>
  </si>
  <si>
    <t>T00104</t>
  </si>
  <si>
    <t>2/7/2025</t>
  </si>
  <si>
    <t>T00150</t>
  </si>
  <si>
    <t>2025-08-18</t>
  </si>
  <si>
    <t>T00041</t>
  </si>
  <si>
    <t>2025-06-19</t>
  </si>
  <si>
    <t>T00071</t>
  </si>
  <si>
    <t>2025-04-15</t>
  </si>
  <si>
    <t>P203</t>
  </si>
  <si>
    <t>T00183</t>
  </si>
  <si>
    <t>2025-01-21</t>
  </si>
  <si>
    <t>T00162</t>
  </si>
  <si>
    <t>2025-04-05</t>
  </si>
  <si>
    <t>T00053</t>
  </si>
  <si>
    <t>2025-07-19</t>
  </si>
  <si>
    <t>T00001</t>
  </si>
  <si>
    <t>2025-05-21</t>
  </si>
  <si>
    <t>T00154</t>
  </si>
  <si>
    <t>2025-06-06</t>
  </si>
  <si>
    <t>T00075</t>
  </si>
  <si>
    <t>2025-01-05</t>
  </si>
  <si>
    <t>T00108</t>
  </si>
  <si>
    <t>2025-08-22</t>
  </si>
  <si>
    <t>T00091</t>
  </si>
  <si>
    <t>Jan 01, 2025</t>
  </si>
  <si>
    <t>T00093</t>
  </si>
  <si>
    <t>2025-06-10</t>
  </si>
  <si>
    <t>T00149</t>
  </si>
  <si>
    <t>2025-10-12</t>
  </si>
  <si>
    <t>T00187</t>
  </si>
  <si>
    <t>12/22/2025</t>
  </si>
  <si>
    <t>T00072</t>
  </si>
  <si>
    <t>2025-01-27</t>
  </si>
  <si>
    <t>T00083</t>
  </si>
  <si>
    <t>2025-04-24</t>
  </si>
  <si>
    <t>T00193</t>
  </si>
  <si>
    <t>8/13/2025</t>
  </si>
  <si>
    <t>T00022</t>
  </si>
  <si>
    <t>Mar 12, 2025</t>
  </si>
  <si>
    <t>T00048</t>
  </si>
  <si>
    <t>2025-08-05</t>
  </si>
  <si>
    <t>T00019</t>
  </si>
  <si>
    <t>12/2/2025</t>
  </si>
  <si>
    <t>T00175</t>
  </si>
  <si>
    <t>Feb 28, 2025</t>
  </si>
  <si>
    <t>T00131</t>
  </si>
  <si>
    <t>2025-08-31</t>
  </si>
  <si>
    <t>T00011</t>
  </si>
  <si>
    <t>2025-04-09</t>
  </si>
  <si>
    <t>T00134</t>
  </si>
  <si>
    <t>2025-10-24</t>
  </si>
  <si>
    <t>T00153</t>
  </si>
  <si>
    <t>6/19/2025</t>
  </si>
  <si>
    <t>T00158</t>
  </si>
  <si>
    <t>2025-06-04</t>
  </si>
  <si>
    <t>T00034</t>
  </si>
  <si>
    <t>2025-09-30</t>
  </si>
  <si>
    <t>T00164</t>
  </si>
  <si>
    <t>2025-11-19</t>
  </si>
  <si>
    <t>T00110</t>
  </si>
  <si>
    <t>9/1/2025</t>
  </si>
  <si>
    <t>T00035</t>
  </si>
  <si>
    <t>2025-03-26</t>
  </si>
  <si>
    <t>T00147</t>
  </si>
  <si>
    <t>2025-11-02</t>
  </si>
  <si>
    <t>T00009</t>
  </si>
  <si>
    <t>Aug 24, 2025</t>
  </si>
  <si>
    <t>T00141</t>
  </si>
  <si>
    <t>Apr 01, 2025</t>
  </si>
  <si>
    <t>T00023</t>
  </si>
  <si>
    <t>2025-02-26</t>
  </si>
  <si>
    <t>T00054</t>
  </si>
  <si>
    <t>Dec 23, 2025</t>
  </si>
  <si>
    <t>T00042</t>
  </si>
  <si>
    <t>12/9/2025</t>
  </si>
  <si>
    <t>T00095</t>
  </si>
  <si>
    <t>2025-10-11</t>
  </si>
  <si>
    <t>T00151</t>
  </si>
  <si>
    <t>2025-07-27</t>
  </si>
  <si>
    <t>T00017</t>
  </si>
  <si>
    <t>2025-01-29</t>
  </si>
  <si>
    <t>T00140</t>
  </si>
  <si>
    <t>11/22/2025</t>
  </si>
  <si>
    <t>T00005</t>
  </si>
  <si>
    <t>2025-08-03</t>
  </si>
  <si>
    <t>T00006</t>
  </si>
  <si>
    <t>3/23/2025</t>
  </si>
  <si>
    <t>T00013</t>
  </si>
  <si>
    <t>8/21/2025</t>
  </si>
  <si>
    <t>T00163</t>
  </si>
  <si>
    <t>2/3/2025</t>
  </si>
  <si>
    <t>T00109</t>
  </si>
  <si>
    <t>Nov 10, 2025</t>
  </si>
  <si>
    <t>T00025</t>
  </si>
  <si>
    <t>Aug 28, 2025</t>
  </si>
  <si>
    <t>T00029</t>
  </si>
  <si>
    <t>Nov 24, 2025</t>
  </si>
  <si>
    <t>T00088</t>
  </si>
  <si>
    <t>Feb 25, 2025</t>
  </si>
  <si>
    <t>T00197</t>
  </si>
  <si>
    <t>2025-12-28</t>
  </si>
  <si>
    <t>T00030</t>
  </si>
  <si>
    <t>2025-07-11</t>
  </si>
  <si>
    <t>T00179</t>
  </si>
  <si>
    <t>Sep 14, 2025</t>
  </si>
  <si>
    <t>T00064</t>
  </si>
  <si>
    <t>1/5/2025</t>
  </si>
  <si>
    <t>T00078</t>
  </si>
  <si>
    <t>2025-07-03</t>
  </si>
  <si>
    <t>T00007</t>
  </si>
  <si>
    <t>4/21/2025</t>
  </si>
  <si>
    <t>T00073</t>
  </si>
  <si>
    <t>2025-01-23</t>
  </si>
  <si>
    <t>T00126</t>
  </si>
  <si>
    <t>T00036</t>
  </si>
  <si>
    <t>2025-10-04</t>
  </si>
  <si>
    <t>T00051</t>
  </si>
  <si>
    <t>3/27/2025</t>
  </si>
  <si>
    <t>T00172</t>
  </si>
  <si>
    <t>Aug 19, 2025</t>
  </si>
  <si>
    <t>T00003</t>
  </si>
  <si>
    <t>2025-01-16</t>
  </si>
  <si>
    <t>T00097</t>
  </si>
  <si>
    <t>2025-10-08</t>
  </si>
  <si>
    <t>T00090</t>
  </si>
  <si>
    <t>2025-10-23</t>
  </si>
  <si>
    <t>T00144</t>
  </si>
  <si>
    <t>2025-08-19</t>
  </si>
  <si>
    <t>T00100</t>
  </si>
  <si>
    <t>T00046</t>
  </si>
  <si>
    <t>2/1/2025</t>
  </si>
  <si>
    <t>T00182</t>
  </si>
  <si>
    <t>2025-10-28</t>
  </si>
  <si>
    <t>T00049</t>
  </si>
  <si>
    <t>2/8/2025</t>
  </si>
  <si>
    <t>T00031</t>
  </si>
  <si>
    <t>6/15/2025</t>
  </si>
  <si>
    <t>T00014</t>
  </si>
  <si>
    <t>2025-04-18</t>
  </si>
  <si>
    <t>T00188</t>
  </si>
  <si>
    <t>1/19/2025</t>
  </si>
  <si>
    <t>T00050</t>
  </si>
  <si>
    <t>Nov 30, 2025</t>
  </si>
  <si>
    <t>T00156</t>
  </si>
  <si>
    <t>T00190</t>
  </si>
  <si>
    <t>T00176</t>
  </si>
  <si>
    <t>2025-03-14</t>
  </si>
  <si>
    <t>T00195</t>
  </si>
  <si>
    <t>2025-07-28</t>
  </si>
  <si>
    <t>T00089</t>
  </si>
  <si>
    <t>Aug 12, 2025</t>
  </si>
  <si>
    <t>T00055</t>
  </si>
  <si>
    <t>2025-04-08</t>
  </si>
  <si>
    <t>T00169</t>
  </si>
  <si>
    <t>2025-02-20</t>
  </si>
  <si>
    <t>T00198</t>
  </si>
  <si>
    <t>5/5/2025</t>
  </si>
  <si>
    <t>T00148</t>
  </si>
  <si>
    <t>T00138</t>
  </si>
  <si>
    <t>Feb 05, 2025</t>
  </si>
  <si>
    <t>T00057</t>
  </si>
  <si>
    <t>Jan 26, 2025</t>
  </si>
  <si>
    <t>T00165</t>
  </si>
  <si>
    <t>2025-06-05</t>
  </si>
  <si>
    <t>T00171</t>
  </si>
  <si>
    <t>2025-10-10</t>
  </si>
  <si>
    <t>T00070</t>
  </si>
  <si>
    <t>2025-03-21</t>
  </si>
  <si>
    <t>T00177</t>
  </si>
  <si>
    <t>Nov 01, 2025</t>
  </si>
  <si>
    <t>T00133</t>
  </si>
  <si>
    <t>2025-11-07</t>
  </si>
  <si>
    <t>T00174</t>
  </si>
  <si>
    <t>2025-02-06</t>
  </si>
  <si>
    <t>T00132</t>
  </si>
  <si>
    <t>2025-12-25</t>
  </si>
  <si>
    <t>T00103</t>
  </si>
  <si>
    <t>2025-01-13</t>
  </si>
  <si>
    <t>T00116</t>
  </si>
  <si>
    <t>8/27/2025</t>
  </si>
  <si>
    <t>T00002</t>
  </si>
  <si>
    <t>Dec 13, 2025</t>
  </si>
  <si>
    <t>T00086</t>
  </si>
  <si>
    <t>Nov 25, 2025</t>
  </si>
  <si>
    <t>T00130</t>
  </si>
  <si>
    <t>Jan 11, 2025</t>
  </si>
  <si>
    <t>T00118</t>
  </si>
  <si>
    <t>7/14/2025</t>
  </si>
  <si>
    <t>T00066</t>
  </si>
  <si>
    <t>2025-06-28</t>
  </si>
  <si>
    <t>T00119</t>
  </si>
  <si>
    <t>7/19/2025</t>
  </si>
  <si>
    <t>T00205</t>
  </si>
  <si>
    <t>10/20/2025</t>
  </si>
  <si>
    <t>T00184</t>
  </si>
  <si>
    <t>Apr 03, 2025</t>
  </si>
  <si>
    <t>T00128</t>
  </si>
  <si>
    <t>T00062</t>
  </si>
  <si>
    <t>4/15/2025</t>
  </si>
  <si>
    <t>T00200</t>
  </si>
  <si>
    <t>5/22/2025</t>
  </si>
  <si>
    <t>T00173</t>
  </si>
  <si>
    <t>2025-04-29</t>
  </si>
  <si>
    <t>T00045</t>
  </si>
  <si>
    <t>8/5/2025</t>
  </si>
  <si>
    <t>T00044</t>
  </si>
  <si>
    <t>T00047</t>
  </si>
  <si>
    <t>2025-05-08</t>
  </si>
  <si>
    <t>T00203</t>
  </si>
  <si>
    <t>6/26/2025</t>
  </si>
  <si>
    <t>T00136</t>
  </si>
  <si>
    <t>2025-12-23</t>
  </si>
  <si>
    <t>T00063</t>
  </si>
  <si>
    <t>2025-03-09</t>
  </si>
  <si>
    <t>T00038</t>
  </si>
  <si>
    <t>2025-05-07</t>
  </si>
  <si>
    <t>T00111</t>
  </si>
  <si>
    <t>9/24/2025</t>
  </si>
  <si>
    <t>T00096</t>
  </si>
  <si>
    <t>2025-12-13</t>
  </si>
  <si>
    <t>T00092</t>
  </si>
  <si>
    <t>2025-08-09</t>
  </si>
  <si>
    <t>T00076</t>
  </si>
  <si>
    <t>T00015</t>
  </si>
  <si>
    <t>2025-11-22</t>
  </si>
  <si>
    <t>T00084</t>
  </si>
  <si>
    <t>2025-04-27</t>
  </si>
  <si>
    <t>T00202</t>
  </si>
  <si>
    <t>3/18/2025</t>
  </si>
  <si>
    <t>T00008</t>
  </si>
  <si>
    <t>2/19/2025</t>
  </si>
  <si>
    <t>T00077</t>
  </si>
  <si>
    <t>2025-03-07</t>
  </si>
  <si>
    <t>T00043</t>
  </si>
  <si>
    <t>10/23/2025</t>
  </si>
  <si>
    <t>T00114</t>
  </si>
  <si>
    <t>2025-03-19</t>
  </si>
  <si>
    <t>T00157</t>
  </si>
  <si>
    <t>2025-04-10</t>
  </si>
  <si>
    <t>T00189</t>
  </si>
  <si>
    <t>2025-06-15</t>
  </si>
  <si>
    <t>T00112</t>
  </si>
  <si>
    <t>2025-08-14</t>
  </si>
  <si>
    <t>T00024</t>
  </si>
  <si>
    <t>T00059</t>
  </si>
  <si>
    <t>2025-02-04</t>
  </si>
  <si>
    <t>T00074</t>
  </si>
  <si>
    <t>3/24/2025</t>
  </si>
  <si>
    <t>T00061</t>
  </si>
  <si>
    <t>2/11/2025</t>
  </si>
  <si>
    <t>T00018</t>
  </si>
  <si>
    <t>2025-05-18</t>
  </si>
  <si>
    <t>T00159</t>
  </si>
  <si>
    <t>2025-01-24</t>
  </si>
  <si>
    <t>T00196</t>
  </si>
  <si>
    <t>2025-03-02</t>
  </si>
  <si>
    <t>T00139</t>
  </si>
  <si>
    <t>8/4/2025</t>
  </si>
  <si>
    <t>T00125</t>
  </si>
  <si>
    <t>2025-01-26</t>
  </si>
  <si>
    <t>T00161</t>
  </si>
  <si>
    <t>5/26/2025</t>
  </si>
  <si>
    <t>T00201</t>
  </si>
  <si>
    <t>Oct 28, 2025</t>
  </si>
  <si>
    <t>T00137</t>
  </si>
  <si>
    <t>1/22/2025</t>
  </si>
  <si>
    <t>T00192</t>
  </si>
  <si>
    <t>T00021</t>
  </si>
  <si>
    <t>Aug 08, 2025</t>
  </si>
  <si>
    <t>T00204</t>
  </si>
  <si>
    <t>8/22/2025</t>
  </si>
  <si>
    <t>T00102</t>
  </si>
  <si>
    <t>2025-12-11</t>
  </si>
  <si>
    <t>T00160</t>
  </si>
  <si>
    <t>11/23/2025</t>
  </si>
  <si>
    <t>T00087</t>
  </si>
  <si>
    <t>2025-03-01</t>
  </si>
  <si>
    <t>T00068</t>
  </si>
  <si>
    <t>Dec 01, 2025</t>
  </si>
  <si>
    <t>T00121</t>
  </si>
  <si>
    <t>T00020</t>
  </si>
  <si>
    <t>2025-05-16</t>
  </si>
  <si>
    <t>T00040</t>
  </si>
  <si>
    <t>T00168</t>
  </si>
  <si>
    <t>2025-08-08</t>
  </si>
  <si>
    <t>T00105</t>
  </si>
  <si>
    <t>9/11/2025</t>
  </si>
  <si>
    <t>T00037</t>
  </si>
  <si>
    <t>12/10/2025</t>
  </si>
  <si>
    <t>T00185</t>
  </si>
  <si>
    <t>8/29/2025</t>
  </si>
  <si>
    <t>T00004</t>
  </si>
  <si>
    <t>2025-11-05</t>
  </si>
  <si>
    <t>T00117</t>
  </si>
  <si>
    <t>Jul 19, 2025</t>
  </si>
  <si>
    <t>T00135</t>
  </si>
  <si>
    <t>2025-04-12</t>
  </si>
  <si>
    <t>T00113</t>
  </si>
  <si>
    <t>5/20/2025</t>
  </si>
  <si>
    <t>T00026</t>
  </si>
  <si>
    <t>Dec 16, 2025</t>
  </si>
  <si>
    <t>T00085</t>
  </si>
  <si>
    <t>2025-06-18</t>
  </si>
  <si>
    <t>T00152</t>
  </si>
  <si>
    <t>Oct 11, 2025</t>
  </si>
  <si>
    <t>T00129</t>
  </si>
  <si>
    <t>2025-11-30</t>
  </si>
  <si>
    <t>T00033</t>
  </si>
  <si>
    <t>2025-02-10</t>
  </si>
  <si>
    <t>T00010</t>
  </si>
  <si>
    <t>T00127</t>
  </si>
  <si>
    <t>2025-08-04</t>
  </si>
  <si>
    <t>T00039</t>
  </si>
  <si>
    <t>Oct 29, 2025</t>
  </si>
  <si>
    <t>T00167</t>
  </si>
  <si>
    <t>T00170</t>
  </si>
  <si>
    <t>2025-12-05</t>
  </si>
  <si>
    <t>T00099</t>
  </si>
  <si>
    <t>8/15/2025</t>
  </si>
  <si>
    <t>T00098</t>
  </si>
  <si>
    <t>Aug 09, 2025</t>
  </si>
  <si>
    <t>T00181</t>
  </si>
  <si>
    <t>2025-05-09</t>
  </si>
  <si>
    <t>T00122</t>
  </si>
  <si>
    <t>T00191</t>
  </si>
  <si>
    <t>Jul 05, 2025</t>
  </si>
  <si>
    <t>T00082</t>
  </si>
  <si>
    <t>2025-03-23</t>
  </si>
  <si>
    <t>T00012</t>
  </si>
  <si>
    <t>T00106</t>
  </si>
  <si>
    <t>2/24/2025</t>
  </si>
  <si>
    <t>T00199</t>
  </si>
  <si>
    <t>Apr 08, 2025</t>
  </si>
  <si>
    <t>T00060</t>
  </si>
  <si>
    <t>May 07, 2025</t>
  </si>
  <si>
    <t>Descriptive Statistics — Institutional Assessment Transactions</t>
  </si>
  <si>
    <t>total_amount</t>
  </si>
  <si>
    <t>units</t>
  </si>
  <si>
    <t>Section A · Central Tendency (Mean, Median, Mode)</t>
  </si>
  <si>
    <t>Measure</t>
  </si>
  <si>
    <t>Total Amount ($)</t>
  </si>
  <si>
    <t>Mean</t>
  </si>
  <si>
    <t>Median</t>
  </si>
  <si>
    <t>Mode</t>
  </si>
  <si>
    <t>Section B · Spread — Total Amount ($)</t>
  </si>
  <si>
    <t>Value</t>
  </si>
  <si>
    <t>Variance (sample)</t>
  </si>
  <si>
    <t>Standard Deviation</t>
  </si>
  <si>
    <t>Q1 (25th percentile)</t>
  </si>
  <si>
    <t>Q2 / Median (50th)</t>
  </si>
  <si>
    <t>Q3 (75th percentile)</t>
  </si>
  <si>
    <t>Section C · Interpretation</t>
  </si>
  <si>
    <t>The mean total amount ($276.62) is substantially higher than the median ($150.00), revealing a right-skewed distribution where a small number of high-value transactions pull the average upward. The mode of $60–$75 confirms that the most typical transaction is far more modest. The wide standard deviation ($410.00) and range ($2,740.00) signal considerable spread: while the bulk of transactions cluster in the $75–$280 interquartile range, extreme outliers (up to $2,750) inflate both the mean and variance. For central tendency, the median is therefore a more representative summary of a typical sale, whereas the mean is more useful when estimating total revenue impact.</t>
  </si>
  <si>
    <t>Bin (Total Amount $)</t>
  </si>
  <si>
    <t>Frequency</t>
  </si>
  <si>
    <t>0–200</t>
  </si>
  <si>
    <t>200–400</t>
  </si>
  <si>
    <t>400–600</t>
  </si>
  <si>
    <t>600–800</t>
  </si>
  <si>
    <t>800–1000</t>
  </si>
  <si>
    <t>1000–1200</t>
  </si>
  <si>
    <t>1200–1400</t>
  </si>
  <si>
    <t>1400–1600</t>
  </si>
  <si>
    <t>1600–1800</t>
  </si>
  <si>
    <t>1800–2000</t>
  </si>
  <si>
    <t>2000+</t>
  </si>
  <si>
    <t xml:space="preserve">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</si>
</sst>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4E79"/>
      <name val="Arial"/>
      <charset val="1"/>
    </font>
    <font>
      <b/>
      <sz val="10"/>
      <color rgb="FF1F4E79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3" xfId="0" applyFont="1" applyBorder="1" applyAlignment="1">
      <alignment vertical="top" wrapText="1"/>
    </xf>
    <xf numFmtId="4" fontId="2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Histogram of Total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Histogram!$A$2:$A$12</c:f>
              <c:strCache>
                <c:ptCount val="11"/>
                <c:pt idx="0">
                  <c:v>0–200</c:v>
                </c:pt>
                <c:pt idx="1">
                  <c:v>200–400</c:v>
                </c:pt>
                <c:pt idx="2">
                  <c:v>400–600</c:v>
                </c:pt>
                <c:pt idx="3">
                  <c:v>600–800</c:v>
                </c:pt>
                <c:pt idx="4">
                  <c:v>800–1000</c:v>
                </c:pt>
                <c:pt idx="5">
                  <c:v>1000–1200</c:v>
                </c:pt>
                <c:pt idx="6">
                  <c:v>1200–1400</c:v>
                </c:pt>
                <c:pt idx="7">
                  <c:v>1400–1600</c:v>
                </c:pt>
                <c:pt idx="8">
                  <c:v>1600–1800</c:v>
                </c:pt>
                <c:pt idx="9">
                  <c:v>1800–2000</c:v>
                </c:pt>
                <c:pt idx="10">
                  <c:v>2000+</c:v>
                </c:pt>
              </c:strCache>
            </c:strRef>
          </c:cat>
          <c:val>
            <c:numRef>
              <c:f>Histogram!$B$2:$B$12</c:f>
              <c:numCache>
                <c:formatCode>General</c:formatCode>
                <c:ptCount val="11"/>
                <c:pt idx="0">
                  <c:v>126</c:v>
                </c:pt>
                <c:pt idx="1">
                  <c:v>37</c:v>
                </c:pt>
                <c:pt idx="2">
                  <c:v>19</c:v>
                </c:pt>
                <c:pt idx="3">
                  <c:v>10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BDF-9A3E-1AD49B868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5516"/>
        <c:axId val="7496995"/>
      </c:barChart>
      <c:catAx>
        <c:axId val="60055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Amount ($) Bin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6995"/>
        <c:crosses val="autoZero"/>
        <c:auto val="1"/>
        <c:lblAlgn val="ctr"/>
        <c:lblOffset val="100"/>
        <c:noMultiLvlLbl val="0"/>
      </c:catAx>
      <c:valAx>
        <c:axId val="7496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Frequency (# Transactions)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055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opLeftCell="A28" zoomScaleNormal="100" workbookViewId="0"/>
  </sheetViews>
  <sheetFormatPr defaultColWidth="8.7109375" defaultRowHeight="15" x14ac:dyDescent="0.25"/>
  <cols>
    <col min="1" max="7" width="16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7" t="s">
        <v>7</v>
      </c>
      <c r="B2" s="7" t="s">
        <v>8</v>
      </c>
      <c r="C2" s="7" t="s">
        <v>9</v>
      </c>
      <c r="D2" s="7" t="s">
        <v>10</v>
      </c>
      <c r="E2" s="7">
        <v>4</v>
      </c>
      <c r="F2" s="8">
        <v>22</v>
      </c>
      <c r="G2" s="8">
        <v>88</v>
      </c>
    </row>
    <row r="3" spans="1:7" x14ac:dyDescent="0.25">
      <c r="A3" s="7" t="s">
        <v>11</v>
      </c>
      <c r="B3" s="7" t="s">
        <v>12</v>
      </c>
      <c r="C3" s="7" t="s">
        <v>13</v>
      </c>
      <c r="D3" s="7" t="s">
        <v>14</v>
      </c>
      <c r="E3" s="7">
        <v>10</v>
      </c>
      <c r="F3" s="8">
        <v>275</v>
      </c>
      <c r="G3" s="8">
        <v>2750</v>
      </c>
    </row>
    <row r="4" spans="1:7" x14ac:dyDescent="0.25">
      <c r="A4" s="7" t="s">
        <v>15</v>
      </c>
      <c r="B4" s="7" t="s">
        <v>16</v>
      </c>
      <c r="C4" s="7" t="s">
        <v>9</v>
      </c>
      <c r="D4" s="7" t="s">
        <v>17</v>
      </c>
      <c r="E4" s="7">
        <v>1</v>
      </c>
      <c r="F4" s="8">
        <v>20</v>
      </c>
      <c r="G4" s="8">
        <v>20</v>
      </c>
    </row>
    <row r="5" spans="1:7" x14ac:dyDescent="0.25">
      <c r="A5" s="7" t="s">
        <v>18</v>
      </c>
      <c r="B5" s="7" t="s">
        <v>19</v>
      </c>
      <c r="C5" s="7" t="s">
        <v>13</v>
      </c>
      <c r="D5" s="7" t="s">
        <v>20</v>
      </c>
      <c r="E5" s="7">
        <v>2</v>
      </c>
      <c r="F5" s="8">
        <v>65</v>
      </c>
      <c r="G5" s="8">
        <v>130</v>
      </c>
    </row>
    <row r="6" spans="1:7" x14ac:dyDescent="0.25">
      <c r="A6" s="7" t="s">
        <v>21</v>
      </c>
      <c r="B6" s="7" t="s">
        <v>22</v>
      </c>
      <c r="C6" s="7" t="s">
        <v>23</v>
      </c>
      <c r="D6" s="7" t="s">
        <v>17</v>
      </c>
      <c r="E6" s="7">
        <v>9</v>
      </c>
      <c r="F6" s="8">
        <v>20</v>
      </c>
      <c r="G6" s="8">
        <v>180</v>
      </c>
    </row>
    <row r="7" spans="1:7" x14ac:dyDescent="0.25">
      <c r="A7" s="7" t="s">
        <v>24</v>
      </c>
      <c r="B7" s="7" t="s">
        <v>25</v>
      </c>
      <c r="C7" s="7" t="s">
        <v>9</v>
      </c>
      <c r="D7" s="7" t="s">
        <v>26</v>
      </c>
      <c r="E7" s="7">
        <v>10</v>
      </c>
      <c r="F7" s="8">
        <v>85</v>
      </c>
      <c r="G7" s="8">
        <v>850</v>
      </c>
    </row>
    <row r="8" spans="1:7" x14ac:dyDescent="0.25">
      <c r="A8" s="7" t="s">
        <v>27</v>
      </c>
      <c r="B8" s="7" t="s">
        <v>28</v>
      </c>
      <c r="C8" s="7" t="s">
        <v>23</v>
      </c>
      <c r="D8" s="7" t="s">
        <v>29</v>
      </c>
      <c r="E8" s="7">
        <v>1</v>
      </c>
      <c r="F8" s="8">
        <v>95</v>
      </c>
      <c r="G8" s="8">
        <v>95</v>
      </c>
    </row>
    <row r="9" spans="1:7" x14ac:dyDescent="0.25">
      <c r="A9" s="7" t="s">
        <v>30</v>
      </c>
      <c r="B9" s="7" t="s">
        <v>31</v>
      </c>
      <c r="C9" s="7" t="s">
        <v>13</v>
      </c>
      <c r="D9" s="7" t="s">
        <v>32</v>
      </c>
      <c r="E9" s="7">
        <v>2</v>
      </c>
      <c r="F9" s="8">
        <v>15</v>
      </c>
      <c r="G9" s="8">
        <v>30</v>
      </c>
    </row>
    <row r="10" spans="1:7" x14ac:dyDescent="0.25">
      <c r="A10" s="7" t="s">
        <v>33</v>
      </c>
      <c r="B10" s="7" t="s">
        <v>34</v>
      </c>
      <c r="C10" s="7" t="s">
        <v>35</v>
      </c>
      <c r="D10" s="7" t="s">
        <v>36</v>
      </c>
      <c r="E10" s="7">
        <v>6</v>
      </c>
      <c r="F10" s="8">
        <v>18</v>
      </c>
      <c r="G10" s="8">
        <v>108</v>
      </c>
    </row>
    <row r="11" spans="1:7" x14ac:dyDescent="0.25">
      <c r="A11" s="7" t="s">
        <v>37</v>
      </c>
      <c r="B11" s="7" t="s">
        <v>38</v>
      </c>
      <c r="C11" s="7" t="s">
        <v>39</v>
      </c>
      <c r="D11" s="7" t="s">
        <v>17</v>
      </c>
      <c r="E11" s="7">
        <v>8</v>
      </c>
      <c r="F11" s="8">
        <v>20</v>
      </c>
      <c r="G11" s="8">
        <v>160</v>
      </c>
    </row>
    <row r="12" spans="1:7" x14ac:dyDescent="0.25">
      <c r="A12" s="7" t="s">
        <v>40</v>
      </c>
      <c r="B12" s="7" t="s">
        <v>41</v>
      </c>
      <c r="C12" s="7" t="s">
        <v>42</v>
      </c>
      <c r="D12" s="7" t="s">
        <v>32</v>
      </c>
      <c r="E12" s="7">
        <v>8</v>
      </c>
      <c r="F12" s="8">
        <v>15</v>
      </c>
      <c r="G12" s="8">
        <v>120</v>
      </c>
    </row>
    <row r="13" spans="1:7" x14ac:dyDescent="0.25">
      <c r="A13" s="7" t="s">
        <v>43</v>
      </c>
      <c r="B13" s="7" t="s">
        <v>44</v>
      </c>
      <c r="C13" s="7" t="s">
        <v>9</v>
      </c>
      <c r="D13" s="7" t="s">
        <v>45</v>
      </c>
      <c r="E13" s="7">
        <v>4</v>
      </c>
      <c r="F13" s="8">
        <v>12</v>
      </c>
      <c r="G13" s="8">
        <v>48</v>
      </c>
    </row>
    <row r="14" spans="1:7" x14ac:dyDescent="0.25">
      <c r="A14" s="7" t="s">
        <v>46</v>
      </c>
      <c r="B14" s="7" t="s">
        <v>47</v>
      </c>
      <c r="C14" s="7" t="s">
        <v>9</v>
      </c>
      <c r="D14" s="7" t="s">
        <v>20</v>
      </c>
      <c r="E14" s="7">
        <v>3</v>
      </c>
      <c r="F14" s="8">
        <v>65</v>
      </c>
      <c r="G14" s="8">
        <v>195</v>
      </c>
    </row>
    <row r="15" spans="1:7" x14ac:dyDescent="0.25">
      <c r="A15" s="7" t="s">
        <v>48</v>
      </c>
      <c r="B15" s="7" t="s">
        <v>49</v>
      </c>
      <c r="C15" s="7" t="s">
        <v>9</v>
      </c>
      <c r="D15" s="7" t="s">
        <v>10</v>
      </c>
      <c r="E15" s="7">
        <v>4</v>
      </c>
      <c r="F15" s="8">
        <v>22</v>
      </c>
      <c r="G15" s="8">
        <v>88</v>
      </c>
    </row>
    <row r="16" spans="1:7" x14ac:dyDescent="0.25">
      <c r="A16" s="7" t="s">
        <v>50</v>
      </c>
      <c r="B16" s="7" t="s">
        <v>51</v>
      </c>
      <c r="C16" s="7" t="s">
        <v>42</v>
      </c>
      <c r="D16" s="7" t="s">
        <v>36</v>
      </c>
      <c r="E16" s="7">
        <v>2</v>
      </c>
      <c r="F16" s="8">
        <v>18</v>
      </c>
      <c r="G16" s="8">
        <v>36</v>
      </c>
    </row>
    <row r="17" spans="1:7" x14ac:dyDescent="0.25">
      <c r="A17" s="7" t="s">
        <v>52</v>
      </c>
      <c r="B17" s="7" t="s">
        <v>53</v>
      </c>
      <c r="C17" s="7" t="s">
        <v>23</v>
      </c>
      <c r="D17" s="7" t="s">
        <v>36</v>
      </c>
      <c r="E17" s="7">
        <v>9</v>
      </c>
      <c r="F17" s="8">
        <v>18</v>
      </c>
      <c r="G17" s="8">
        <v>162</v>
      </c>
    </row>
    <row r="18" spans="1:7" x14ac:dyDescent="0.25">
      <c r="A18" s="7" t="s">
        <v>54</v>
      </c>
      <c r="B18" s="7" t="s">
        <v>55</v>
      </c>
      <c r="C18" s="7" t="s">
        <v>13</v>
      </c>
      <c r="D18" s="7" t="s">
        <v>56</v>
      </c>
      <c r="E18" s="7">
        <v>9</v>
      </c>
      <c r="F18" s="8">
        <v>110</v>
      </c>
      <c r="G18" s="8">
        <v>990</v>
      </c>
    </row>
    <row r="19" spans="1:7" x14ac:dyDescent="0.25">
      <c r="A19" s="7" t="s">
        <v>57</v>
      </c>
      <c r="B19" s="7" t="s">
        <v>58</v>
      </c>
      <c r="C19" s="7" t="s">
        <v>42</v>
      </c>
      <c r="D19" s="7" t="s">
        <v>20</v>
      </c>
      <c r="E19" s="7">
        <v>7</v>
      </c>
      <c r="F19" s="8">
        <v>65</v>
      </c>
      <c r="G19" s="8">
        <v>455</v>
      </c>
    </row>
    <row r="20" spans="1:7" x14ac:dyDescent="0.25">
      <c r="A20" s="7" t="s">
        <v>59</v>
      </c>
      <c r="B20" s="7" t="s">
        <v>60</v>
      </c>
      <c r="C20" s="7" t="s">
        <v>9</v>
      </c>
      <c r="D20" s="7" t="s">
        <v>61</v>
      </c>
      <c r="E20" s="7">
        <v>6</v>
      </c>
      <c r="F20" s="8">
        <v>45</v>
      </c>
      <c r="G20" s="8">
        <v>270</v>
      </c>
    </row>
    <row r="21" spans="1:7" x14ac:dyDescent="0.25">
      <c r="A21" s="7" t="s">
        <v>62</v>
      </c>
      <c r="B21" s="7" t="s">
        <v>63</v>
      </c>
      <c r="C21" s="7" t="s">
        <v>23</v>
      </c>
      <c r="D21" s="7" t="s">
        <v>64</v>
      </c>
      <c r="E21" s="7">
        <v>10</v>
      </c>
      <c r="F21" s="8">
        <v>10</v>
      </c>
      <c r="G21" s="8">
        <v>100</v>
      </c>
    </row>
    <row r="22" spans="1:7" x14ac:dyDescent="0.25">
      <c r="A22" s="7" t="s">
        <v>65</v>
      </c>
      <c r="B22" s="7" t="s">
        <v>66</v>
      </c>
      <c r="C22" s="7" t="s">
        <v>9</v>
      </c>
      <c r="D22" s="7" t="s">
        <v>29</v>
      </c>
      <c r="E22" s="7">
        <v>2</v>
      </c>
      <c r="F22" s="8">
        <v>95</v>
      </c>
      <c r="G22" s="8">
        <v>190</v>
      </c>
    </row>
    <row r="23" spans="1:7" x14ac:dyDescent="0.25">
      <c r="A23" s="7" t="s">
        <v>67</v>
      </c>
      <c r="B23" s="7" t="s">
        <v>68</v>
      </c>
      <c r="C23" s="7" t="s">
        <v>39</v>
      </c>
      <c r="D23" s="7" t="s">
        <v>29</v>
      </c>
      <c r="E23" s="7">
        <v>2</v>
      </c>
      <c r="F23" s="8">
        <v>95</v>
      </c>
      <c r="G23" s="8">
        <v>190</v>
      </c>
    </row>
    <row r="24" spans="1:7" x14ac:dyDescent="0.25">
      <c r="A24" s="7" t="s">
        <v>69</v>
      </c>
      <c r="B24" s="7" t="s">
        <v>70</v>
      </c>
      <c r="C24" s="7" t="s">
        <v>42</v>
      </c>
      <c r="D24" s="7" t="s">
        <v>32</v>
      </c>
      <c r="E24" s="7">
        <v>3</v>
      </c>
      <c r="F24" s="8">
        <v>15</v>
      </c>
      <c r="G24" s="8">
        <v>45</v>
      </c>
    </row>
    <row r="25" spans="1:7" x14ac:dyDescent="0.25">
      <c r="A25" s="7" t="s">
        <v>71</v>
      </c>
      <c r="B25" s="7" t="s">
        <v>72</v>
      </c>
      <c r="C25" s="7" t="s">
        <v>23</v>
      </c>
      <c r="D25" s="7" t="s">
        <v>73</v>
      </c>
      <c r="E25" s="7">
        <v>5</v>
      </c>
      <c r="F25" s="8">
        <v>10</v>
      </c>
      <c r="G25" s="8">
        <v>50</v>
      </c>
    </row>
    <row r="26" spans="1:7" x14ac:dyDescent="0.25">
      <c r="A26" s="7" t="s">
        <v>74</v>
      </c>
      <c r="B26" s="7" t="s">
        <v>75</v>
      </c>
      <c r="C26" s="7" t="s">
        <v>13</v>
      </c>
      <c r="D26" s="7" t="s">
        <v>76</v>
      </c>
      <c r="E26" s="7">
        <v>5</v>
      </c>
      <c r="F26" s="8">
        <v>15</v>
      </c>
      <c r="G26" s="8">
        <v>75</v>
      </c>
    </row>
    <row r="27" spans="1:7" x14ac:dyDescent="0.25">
      <c r="A27" s="7" t="s">
        <v>77</v>
      </c>
      <c r="B27" s="7" t="s">
        <v>78</v>
      </c>
      <c r="C27" s="7" t="s">
        <v>9</v>
      </c>
      <c r="D27" s="7" t="s">
        <v>79</v>
      </c>
      <c r="E27" s="7">
        <v>6</v>
      </c>
      <c r="F27" s="8">
        <v>28</v>
      </c>
      <c r="G27" s="8">
        <v>168</v>
      </c>
    </row>
    <row r="28" spans="1:7" x14ac:dyDescent="0.25">
      <c r="A28" s="7" t="s">
        <v>80</v>
      </c>
      <c r="B28" s="7" t="s">
        <v>81</v>
      </c>
      <c r="C28" s="7" t="s">
        <v>35</v>
      </c>
      <c r="D28" s="7" t="s">
        <v>56</v>
      </c>
      <c r="E28" s="7">
        <v>2</v>
      </c>
      <c r="F28" s="8">
        <v>110</v>
      </c>
      <c r="G28" s="8">
        <v>220</v>
      </c>
    </row>
    <row r="29" spans="1:7" x14ac:dyDescent="0.25">
      <c r="A29" s="7" t="s">
        <v>82</v>
      </c>
      <c r="B29" s="7" t="s">
        <v>83</v>
      </c>
      <c r="C29" s="7" t="s">
        <v>35</v>
      </c>
      <c r="D29" s="7" t="s">
        <v>20</v>
      </c>
      <c r="E29" s="7">
        <v>10</v>
      </c>
      <c r="F29" s="8">
        <v>65</v>
      </c>
      <c r="G29" s="8">
        <v>650</v>
      </c>
    </row>
    <row r="30" spans="1:7" x14ac:dyDescent="0.25">
      <c r="A30" s="7" t="s">
        <v>84</v>
      </c>
      <c r="B30" s="7" t="s">
        <v>85</v>
      </c>
      <c r="C30" s="7" t="s">
        <v>39</v>
      </c>
      <c r="D30" s="7" t="s">
        <v>79</v>
      </c>
      <c r="E30" s="7">
        <v>2</v>
      </c>
      <c r="F30" s="8">
        <v>28</v>
      </c>
      <c r="G30" s="8">
        <v>56</v>
      </c>
    </row>
    <row r="31" spans="1:7" x14ac:dyDescent="0.25">
      <c r="A31" s="7" t="s">
        <v>86</v>
      </c>
      <c r="B31" s="7" t="s">
        <v>87</v>
      </c>
      <c r="C31" s="7" t="s">
        <v>23</v>
      </c>
      <c r="D31" s="7" t="s">
        <v>36</v>
      </c>
      <c r="E31" s="7">
        <v>4</v>
      </c>
      <c r="F31" s="8">
        <v>18</v>
      </c>
      <c r="G31" s="8">
        <v>72</v>
      </c>
    </row>
    <row r="32" spans="1:7" x14ac:dyDescent="0.25">
      <c r="A32" s="7" t="s">
        <v>88</v>
      </c>
      <c r="B32" s="7" t="s">
        <v>89</v>
      </c>
      <c r="C32" s="7" t="s">
        <v>23</v>
      </c>
      <c r="D32" s="7" t="s">
        <v>45</v>
      </c>
      <c r="E32" s="7">
        <v>10</v>
      </c>
      <c r="F32" s="8">
        <v>12</v>
      </c>
      <c r="G32" s="8">
        <v>120</v>
      </c>
    </row>
    <row r="33" spans="1:7" x14ac:dyDescent="0.25">
      <c r="A33" s="7" t="s">
        <v>90</v>
      </c>
      <c r="B33" s="7" t="s">
        <v>91</v>
      </c>
      <c r="C33" s="7" t="s">
        <v>13</v>
      </c>
      <c r="D33" s="7" t="s">
        <v>45</v>
      </c>
      <c r="E33" s="7">
        <v>8</v>
      </c>
      <c r="F33" s="8">
        <v>12</v>
      </c>
      <c r="G33" s="8">
        <v>96</v>
      </c>
    </row>
    <row r="34" spans="1:7" x14ac:dyDescent="0.25">
      <c r="A34" s="7" t="s">
        <v>92</v>
      </c>
      <c r="B34" s="7" t="s">
        <v>93</v>
      </c>
      <c r="C34" s="7" t="s">
        <v>23</v>
      </c>
      <c r="D34" s="7" t="s">
        <v>76</v>
      </c>
      <c r="E34" s="7">
        <v>1</v>
      </c>
      <c r="F34" s="8">
        <v>15</v>
      </c>
      <c r="G34" s="8">
        <v>15</v>
      </c>
    </row>
    <row r="35" spans="1:7" x14ac:dyDescent="0.25">
      <c r="A35" s="7" t="s">
        <v>94</v>
      </c>
      <c r="B35" s="7" t="s">
        <v>95</v>
      </c>
      <c r="C35" s="7" t="s">
        <v>39</v>
      </c>
      <c r="D35" s="7" t="s">
        <v>96</v>
      </c>
      <c r="E35" s="7">
        <v>6</v>
      </c>
      <c r="F35" s="8">
        <v>30</v>
      </c>
      <c r="G35" s="8">
        <v>180</v>
      </c>
    </row>
    <row r="36" spans="1:7" x14ac:dyDescent="0.25">
      <c r="A36" s="7" t="s">
        <v>97</v>
      </c>
      <c r="B36" s="7" t="s">
        <v>98</v>
      </c>
      <c r="C36" s="7" t="s">
        <v>13</v>
      </c>
      <c r="D36" s="7" t="s">
        <v>14</v>
      </c>
      <c r="E36" s="7">
        <v>10</v>
      </c>
      <c r="F36" s="8">
        <v>275</v>
      </c>
      <c r="G36" s="8">
        <v>2750</v>
      </c>
    </row>
    <row r="37" spans="1:7" x14ac:dyDescent="0.25">
      <c r="A37" s="7" t="s">
        <v>99</v>
      </c>
      <c r="B37" s="7" t="s">
        <v>100</v>
      </c>
      <c r="C37" s="7" t="s">
        <v>9</v>
      </c>
      <c r="D37" s="7" t="s">
        <v>29</v>
      </c>
      <c r="E37" s="7">
        <v>6</v>
      </c>
      <c r="F37" s="8">
        <v>95</v>
      </c>
      <c r="G37" s="8">
        <v>570</v>
      </c>
    </row>
    <row r="38" spans="1:7" x14ac:dyDescent="0.25">
      <c r="A38" s="7" t="s">
        <v>101</v>
      </c>
      <c r="B38" s="7" t="s">
        <v>102</v>
      </c>
      <c r="C38" s="7" t="s">
        <v>23</v>
      </c>
      <c r="D38" s="7" t="s">
        <v>61</v>
      </c>
      <c r="E38" s="7">
        <v>1</v>
      </c>
      <c r="F38" s="8">
        <v>45</v>
      </c>
      <c r="G38" s="8">
        <v>45</v>
      </c>
    </row>
    <row r="39" spans="1:7" x14ac:dyDescent="0.25">
      <c r="A39" s="7" t="s">
        <v>103</v>
      </c>
      <c r="B39" s="7" t="s">
        <v>104</v>
      </c>
      <c r="C39" s="7" t="s">
        <v>13</v>
      </c>
      <c r="D39" s="7" t="s">
        <v>36</v>
      </c>
      <c r="E39" s="7">
        <v>1</v>
      </c>
      <c r="F39" s="8">
        <v>18</v>
      </c>
      <c r="G39" s="8">
        <v>18</v>
      </c>
    </row>
    <row r="40" spans="1:7" x14ac:dyDescent="0.25">
      <c r="A40" s="7" t="s">
        <v>105</v>
      </c>
      <c r="B40" s="7" t="s">
        <v>106</v>
      </c>
      <c r="C40" s="7" t="s">
        <v>13</v>
      </c>
      <c r="D40" s="7" t="s">
        <v>29</v>
      </c>
      <c r="E40" s="7">
        <v>5</v>
      </c>
      <c r="F40" s="8">
        <v>95</v>
      </c>
      <c r="G40" s="8">
        <v>475</v>
      </c>
    </row>
    <row r="41" spans="1:7" x14ac:dyDescent="0.25">
      <c r="A41" s="7" t="s">
        <v>107</v>
      </c>
      <c r="B41" s="7" t="s">
        <v>108</v>
      </c>
      <c r="C41" s="7" t="s">
        <v>42</v>
      </c>
      <c r="D41" s="7" t="s">
        <v>26</v>
      </c>
      <c r="E41" s="7">
        <v>9</v>
      </c>
      <c r="F41" s="8">
        <v>85</v>
      </c>
      <c r="G41" s="8">
        <v>765</v>
      </c>
    </row>
    <row r="42" spans="1:7" x14ac:dyDescent="0.25">
      <c r="A42" s="7" t="s">
        <v>109</v>
      </c>
      <c r="B42" s="7" t="s">
        <v>110</v>
      </c>
      <c r="C42" s="7" t="s">
        <v>42</v>
      </c>
      <c r="D42" s="7" t="s">
        <v>32</v>
      </c>
      <c r="E42" s="7">
        <v>2</v>
      </c>
      <c r="F42" s="8">
        <v>15</v>
      </c>
      <c r="G42" s="8">
        <v>30</v>
      </c>
    </row>
    <row r="43" spans="1:7" x14ac:dyDescent="0.25">
      <c r="A43" s="7" t="s">
        <v>111</v>
      </c>
      <c r="B43" s="7" t="s">
        <v>112</v>
      </c>
      <c r="C43" s="7" t="s">
        <v>39</v>
      </c>
      <c r="D43" s="7" t="s">
        <v>64</v>
      </c>
      <c r="E43" s="7">
        <v>7</v>
      </c>
      <c r="F43" s="8">
        <v>10</v>
      </c>
      <c r="G43" s="8">
        <v>70</v>
      </c>
    </row>
    <row r="44" spans="1:7" x14ac:dyDescent="0.25">
      <c r="A44" s="7" t="s">
        <v>113</v>
      </c>
      <c r="B44" s="7" t="s">
        <v>114</v>
      </c>
      <c r="C44" s="7" t="s">
        <v>13</v>
      </c>
      <c r="D44" s="7" t="s">
        <v>79</v>
      </c>
      <c r="E44" s="7">
        <v>10</v>
      </c>
      <c r="F44" s="8">
        <v>28</v>
      </c>
      <c r="G44" s="8">
        <v>280</v>
      </c>
    </row>
    <row r="45" spans="1:7" x14ac:dyDescent="0.25">
      <c r="A45" s="7" t="s">
        <v>115</v>
      </c>
      <c r="B45" s="7" t="s">
        <v>116</v>
      </c>
      <c r="C45" s="7" t="s">
        <v>23</v>
      </c>
      <c r="D45" s="7" t="s">
        <v>26</v>
      </c>
      <c r="E45" s="7">
        <v>8</v>
      </c>
      <c r="F45" s="8">
        <v>85</v>
      </c>
      <c r="G45" s="8">
        <v>680</v>
      </c>
    </row>
    <row r="46" spans="1:7" x14ac:dyDescent="0.25">
      <c r="A46" s="7" t="s">
        <v>117</v>
      </c>
      <c r="B46" s="7" t="s">
        <v>118</v>
      </c>
      <c r="C46" s="7" t="s">
        <v>23</v>
      </c>
      <c r="D46" s="7" t="s">
        <v>79</v>
      </c>
      <c r="E46" s="7">
        <v>7</v>
      </c>
      <c r="F46" s="8">
        <v>28</v>
      </c>
      <c r="G46" s="8">
        <v>196</v>
      </c>
    </row>
    <row r="47" spans="1:7" x14ac:dyDescent="0.25">
      <c r="A47" s="7" t="s">
        <v>119</v>
      </c>
      <c r="B47" s="7" t="s">
        <v>120</v>
      </c>
      <c r="C47" s="7" t="s">
        <v>42</v>
      </c>
      <c r="D47" s="7" t="s">
        <v>45</v>
      </c>
      <c r="E47" s="7">
        <v>5</v>
      </c>
      <c r="F47" s="8">
        <v>12</v>
      </c>
      <c r="G47" s="8">
        <v>60</v>
      </c>
    </row>
    <row r="48" spans="1:7" x14ac:dyDescent="0.25">
      <c r="A48" s="7" t="s">
        <v>121</v>
      </c>
      <c r="B48" s="7" t="s">
        <v>122</v>
      </c>
      <c r="C48" s="7" t="s">
        <v>9</v>
      </c>
      <c r="D48" s="7" t="s">
        <v>64</v>
      </c>
      <c r="E48" s="7">
        <v>8</v>
      </c>
      <c r="F48" s="8">
        <v>10</v>
      </c>
      <c r="G48" s="8">
        <v>80</v>
      </c>
    </row>
    <row r="49" spans="1:7" x14ac:dyDescent="0.25">
      <c r="A49" s="7" t="s">
        <v>123</v>
      </c>
      <c r="B49" s="7" t="s">
        <v>124</v>
      </c>
      <c r="C49" s="7" t="s">
        <v>42</v>
      </c>
      <c r="D49" s="7" t="s">
        <v>10</v>
      </c>
      <c r="E49" s="7">
        <v>5</v>
      </c>
      <c r="F49" s="8">
        <v>22</v>
      </c>
      <c r="G49" s="8">
        <v>110</v>
      </c>
    </row>
    <row r="50" spans="1:7" x14ac:dyDescent="0.25">
      <c r="A50" s="7" t="s">
        <v>125</v>
      </c>
      <c r="B50" s="7" t="s">
        <v>126</v>
      </c>
      <c r="C50" s="7" t="s">
        <v>9</v>
      </c>
      <c r="D50" s="7" t="s">
        <v>73</v>
      </c>
      <c r="E50" s="7">
        <v>4</v>
      </c>
      <c r="F50" s="8">
        <v>10</v>
      </c>
      <c r="G50" s="8">
        <v>40</v>
      </c>
    </row>
    <row r="51" spans="1:7" x14ac:dyDescent="0.25">
      <c r="A51" s="7" t="s">
        <v>127</v>
      </c>
      <c r="B51" s="7" t="s">
        <v>128</v>
      </c>
      <c r="C51" s="7" t="s">
        <v>23</v>
      </c>
      <c r="D51" s="7" t="s">
        <v>29</v>
      </c>
      <c r="E51" s="7">
        <v>3</v>
      </c>
      <c r="F51" s="8">
        <v>95</v>
      </c>
      <c r="G51" s="8">
        <v>285</v>
      </c>
    </row>
    <row r="52" spans="1:7" x14ac:dyDescent="0.25">
      <c r="A52" s="7" t="s">
        <v>129</v>
      </c>
      <c r="B52" s="7" t="s">
        <v>130</v>
      </c>
      <c r="C52" s="7" t="s">
        <v>23</v>
      </c>
      <c r="D52" s="7" t="s">
        <v>79</v>
      </c>
      <c r="E52" s="7">
        <v>4</v>
      </c>
      <c r="F52" s="8">
        <v>28</v>
      </c>
      <c r="G52" s="8">
        <v>112</v>
      </c>
    </row>
    <row r="53" spans="1:7" x14ac:dyDescent="0.25">
      <c r="A53" s="7" t="s">
        <v>131</v>
      </c>
      <c r="B53" s="7" t="s">
        <v>132</v>
      </c>
      <c r="C53" s="7" t="s">
        <v>39</v>
      </c>
      <c r="D53" s="7" t="s">
        <v>96</v>
      </c>
      <c r="E53" s="7">
        <v>7</v>
      </c>
      <c r="F53" s="8">
        <v>30</v>
      </c>
      <c r="G53" s="8">
        <v>210</v>
      </c>
    </row>
    <row r="54" spans="1:7" x14ac:dyDescent="0.25">
      <c r="A54" s="7" t="s">
        <v>133</v>
      </c>
      <c r="B54" s="7" t="s">
        <v>134</v>
      </c>
      <c r="C54" s="7" t="s">
        <v>23</v>
      </c>
      <c r="D54" s="7" t="s">
        <v>32</v>
      </c>
      <c r="E54" s="7">
        <v>3</v>
      </c>
      <c r="F54" s="8">
        <v>15</v>
      </c>
      <c r="G54" s="8">
        <v>45</v>
      </c>
    </row>
    <row r="55" spans="1:7" x14ac:dyDescent="0.25">
      <c r="A55" s="7" t="s">
        <v>135</v>
      </c>
      <c r="B55" s="7" t="s">
        <v>136</v>
      </c>
      <c r="C55" s="7" t="s">
        <v>13</v>
      </c>
      <c r="D55" s="7" t="s">
        <v>73</v>
      </c>
      <c r="E55" s="7">
        <v>10</v>
      </c>
      <c r="F55" s="8">
        <v>10</v>
      </c>
      <c r="G55" s="8">
        <v>100</v>
      </c>
    </row>
    <row r="56" spans="1:7" x14ac:dyDescent="0.25">
      <c r="A56" s="7" t="s">
        <v>137</v>
      </c>
      <c r="B56" s="7" t="s">
        <v>138</v>
      </c>
      <c r="C56" s="7" t="s">
        <v>23</v>
      </c>
      <c r="D56" s="7" t="s">
        <v>56</v>
      </c>
      <c r="E56" s="7">
        <v>2</v>
      </c>
      <c r="F56" s="8">
        <v>110</v>
      </c>
      <c r="G56" s="8">
        <v>220</v>
      </c>
    </row>
    <row r="57" spans="1:7" x14ac:dyDescent="0.25">
      <c r="A57" s="7" t="s">
        <v>139</v>
      </c>
      <c r="B57" s="7" t="s">
        <v>140</v>
      </c>
      <c r="C57" s="7" t="s">
        <v>39</v>
      </c>
      <c r="D57" s="7" t="s">
        <v>26</v>
      </c>
      <c r="E57" s="7">
        <v>9</v>
      </c>
      <c r="F57" s="8">
        <v>85</v>
      </c>
      <c r="G57" s="8">
        <v>765</v>
      </c>
    </row>
    <row r="58" spans="1:7" x14ac:dyDescent="0.25">
      <c r="A58" s="7" t="s">
        <v>141</v>
      </c>
      <c r="B58" s="7" t="s">
        <v>142</v>
      </c>
      <c r="C58" s="7" t="s">
        <v>23</v>
      </c>
      <c r="D58" s="7" t="s">
        <v>73</v>
      </c>
      <c r="E58" s="7">
        <v>3</v>
      </c>
      <c r="F58" s="8">
        <v>10</v>
      </c>
      <c r="G58" s="8">
        <v>30</v>
      </c>
    </row>
    <row r="59" spans="1:7" x14ac:dyDescent="0.25">
      <c r="A59" s="7" t="s">
        <v>143</v>
      </c>
      <c r="B59" s="7" t="s">
        <v>144</v>
      </c>
      <c r="C59" s="7" t="s">
        <v>13</v>
      </c>
      <c r="D59" s="7" t="s">
        <v>45</v>
      </c>
      <c r="E59" s="7">
        <v>2</v>
      </c>
      <c r="F59" s="8">
        <v>12</v>
      </c>
      <c r="G59" s="8">
        <v>24</v>
      </c>
    </row>
    <row r="60" spans="1:7" x14ac:dyDescent="0.25">
      <c r="A60" s="7" t="s">
        <v>145</v>
      </c>
      <c r="B60" s="7" t="s">
        <v>146</v>
      </c>
      <c r="C60" s="7" t="s">
        <v>9</v>
      </c>
      <c r="D60" s="7" t="s">
        <v>76</v>
      </c>
      <c r="E60" s="7">
        <v>10</v>
      </c>
      <c r="F60" s="8">
        <v>15</v>
      </c>
      <c r="G60" s="8">
        <v>150</v>
      </c>
    </row>
    <row r="61" spans="1:7" x14ac:dyDescent="0.25">
      <c r="A61" s="7" t="s">
        <v>147</v>
      </c>
      <c r="B61" s="7" t="s">
        <v>148</v>
      </c>
      <c r="C61" s="7" t="s">
        <v>9</v>
      </c>
      <c r="D61" s="7" t="s">
        <v>29</v>
      </c>
      <c r="E61" s="7">
        <v>3</v>
      </c>
      <c r="F61" s="8">
        <v>95</v>
      </c>
      <c r="G61" s="8">
        <v>285</v>
      </c>
    </row>
    <row r="62" spans="1:7" x14ac:dyDescent="0.25">
      <c r="A62" s="7" t="s">
        <v>149</v>
      </c>
      <c r="B62" s="7" t="s">
        <v>150</v>
      </c>
      <c r="C62" s="7" t="s">
        <v>23</v>
      </c>
      <c r="D62" s="7" t="s">
        <v>45</v>
      </c>
      <c r="E62" s="7">
        <v>9</v>
      </c>
      <c r="F62" s="8">
        <v>12</v>
      </c>
      <c r="G62" s="8">
        <v>108</v>
      </c>
    </row>
    <row r="63" spans="1:7" x14ac:dyDescent="0.25">
      <c r="A63" s="7" t="s">
        <v>151</v>
      </c>
      <c r="B63" s="7" t="s">
        <v>152</v>
      </c>
      <c r="C63" s="7" t="s">
        <v>39</v>
      </c>
      <c r="D63" s="7" t="s">
        <v>79</v>
      </c>
      <c r="E63" s="7">
        <v>5</v>
      </c>
      <c r="F63" s="8">
        <v>28</v>
      </c>
      <c r="G63" s="8">
        <v>140</v>
      </c>
    </row>
    <row r="64" spans="1:7" x14ac:dyDescent="0.25">
      <c r="A64" s="7" t="s">
        <v>153</v>
      </c>
      <c r="B64" s="7" t="s">
        <v>154</v>
      </c>
      <c r="C64" s="7" t="s">
        <v>39</v>
      </c>
      <c r="D64" s="7" t="s">
        <v>14</v>
      </c>
      <c r="E64" s="7">
        <v>1</v>
      </c>
      <c r="F64" s="8">
        <v>275</v>
      </c>
      <c r="G64" s="8">
        <v>275</v>
      </c>
    </row>
    <row r="65" spans="1:7" x14ac:dyDescent="0.25">
      <c r="A65" s="7" t="s">
        <v>155</v>
      </c>
      <c r="B65" s="7" t="s">
        <v>156</v>
      </c>
      <c r="C65" s="7" t="s">
        <v>13</v>
      </c>
      <c r="D65" s="7" t="s">
        <v>10</v>
      </c>
      <c r="E65" s="7">
        <v>7</v>
      </c>
      <c r="F65" s="8">
        <v>22</v>
      </c>
      <c r="G65" s="8">
        <v>154</v>
      </c>
    </row>
    <row r="66" spans="1:7" x14ac:dyDescent="0.25">
      <c r="A66" s="7" t="s">
        <v>157</v>
      </c>
      <c r="B66" s="7" t="s">
        <v>158</v>
      </c>
      <c r="C66" s="7" t="s">
        <v>9</v>
      </c>
      <c r="D66" s="7" t="s">
        <v>76</v>
      </c>
      <c r="E66" s="7">
        <v>1</v>
      </c>
      <c r="F66" s="8">
        <v>15</v>
      </c>
      <c r="G66" s="8">
        <v>15</v>
      </c>
    </row>
    <row r="67" spans="1:7" x14ac:dyDescent="0.25">
      <c r="A67" s="7" t="s">
        <v>159</v>
      </c>
      <c r="B67" s="7" t="s">
        <v>160</v>
      </c>
      <c r="C67" s="7" t="s">
        <v>9</v>
      </c>
      <c r="D67" s="7" t="s">
        <v>56</v>
      </c>
      <c r="E67" s="7">
        <v>7</v>
      </c>
      <c r="F67" s="8">
        <v>110</v>
      </c>
      <c r="G67" s="8">
        <v>770</v>
      </c>
    </row>
    <row r="68" spans="1:7" x14ac:dyDescent="0.25">
      <c r="A68" s="7" t="s">
        <v>161</v>
      </c>
      <c r="B68" s="7" t="s">
        <v>162</v>
      </c>
      <c r="C68" s="7" t="s">
        <v>42</v>
      </c>
      <c r="D68" s="7" t="s">
        <v>32</v>
      </c>
      <c r="E68" s="7">
        <v>5</v>
      </c>
      <c r="F68" s="8">
        <v>15</v>
      </c>
      <c r="G68" s="8">
        <v>75</v>
      </c>
    </row>
    <row r="69" spans="1:7" x14ac:dyDescent="0.25">
      <c r="A69" s="7" t="s">
        <v>163</v>
      </c>
      <c r="B69" s="7" t="s">
        <v>164</v>
      </c>
      <c r="C69" s="7" t="s">
        <v>39</v>
      </c>
      <c r="D69" s="7" t="s">
        <v>61</v>
      </c>
      <c r="E69" s="7">
        <v>5</v>
      </c>
      <c r="F69" s="8">
        <v>45</v>
      </c>
      <c r="G69" s="8">
        <v>225</v>
      </c>
    </row>
    <row r="70" spans="1:7" x14ac:dyDescent="0.25">
      <c r="A70" s="7" t="s">
        <v>165</v>
      </c>
      <c r="B70" s="7" t="s">
        <v>166</v>
      </c>
      <c r="C70" s="7" t="s">
        <v>35</v>
      </c>
      <c r="D70" s="7" t="s">
        <v>56</v>
      </c>
      <c r="E70" s="7">
        <v>4</v>
      </c>
      <c r="F70" s="8">
        <v>110</v>
      </c>
      <c r="G70" s="8">
        <v>440</v>
      </c>
    </row>
    <row r="71" spans="1:7" x14ac:dyDescent="0.25">
      <c r="A71" s="7" t="s">
        <v>167</v>
      </c>
      <c r="B71" s="7" t="s">
        <v>168</v>
      </c>
      <c r="C71" s="7" t="s">
        <v>39</v>
      </c>
      <c r="D71" s="7" t="s">
        <v>32</v>
      </c>
      <c r="E71" s="7">
        <v>6</v>
      </c>
      <c r="F71" s="8">
        <v>15</v>
      </c>
      <c r="G71" s="8">
        <v>90</v>
      </c>
    </row>
    <row r="72" spans="1:7" x14ac:dyDescent="0.25">
      <c r="A72" s="7" t="s">
        <v>169</v>
      </c>
      <c r="B72" s="7" t="s">
        <v>170</v>
      </c>
      <c r="C72" s="7" t="s">
        <v>35</v>
      </c>
      <c r="D72" s="7" t="s">
        <v>26</v>
      </c>
      <c r="E72" s="7">
        <v>6</v>
      </c>
      <c r="F72" s="8">
        <v>85</v>
      </c>
      <c r="G72" s="8">
        <v>510</v>
      </c>
    </row>
    <row r="73" spans="1:7" x14ac:dyDescent="0.25">
      <c r="A73" s="7" t="s">
        <v>171</v>
      </c>
      <c r="B73" s="7" t="s">
        <v>172</v>
      </c>
      <c r="C73" s="7" t="s">
        <v>42</v>
      </c>
      <c r="D73" s="7" t="s">
        <v>96</v>
      </c>
      <c r="E73" s="7">
        <v>9</v>
      </c>
      <c r="F73" s="8">
        <v>30</v>
      </c>
      <c r="G73" s="8">
        <v>270</v>
      </c>
    </row>
    <row r="74" spans="1:7" x14ac:dyDescent="0.25">
      <c r="A74" s="7" t="s">
        <v>103</v>
      </c>
      <c r="B74" s="7" t="s">
        <v>104</v>
      </c>
      <c r="C74" s="7" t="s">
        <v>13</v>
      </c>
      <c r="D74" s="7" t="s">
        <v>36</v>
      </c>
      <c r="E74" s="7">
        <v>1</v>
      </c>
      <c r="F74" s="8">
        <v>18</v>
      </c>
      <c r="G74" s="8">
        <v>18</v>
      </c>
    </row>
    <row r="75" spans="1:7" x14ac:dyDescent="0.25">
      <c r="A75" s="7" t="s">
        <v>80</v>
      </c>
      <c r="B75" s="7" t="s">
        <v>81</v>
      </c>
      <c r="C75" s="7" t="s">
        <v>35</v>
      </c>
      <c r="D75" s="7" t="s">
        <v>56</v>
      </c>
      <c r="E75" s="7">
        <v>2</v>
      </c>
      <c r="F75" s="8">
        <v>110</v>
      </c>
      <c r="G75" s="8">
        <v>220</v>
      </c>
    </row>
    <row r="76" spans="1:7" x14ac:dyDescent="0.25">
      <c r="A76" s="7" t="s">
        <v>173</v>
      </c>
      <c r="B76" s="7" t="s">
        <v>174</v>
      </c>
      <c r="C76" s="7" t="s">
        <v>9</v>
      </c>
      <c r="D76" s="7" t="s">
        <v>14</v>
      </c>
      <c r="E76" s="7">
        <v>1</v>
      </c>
      <c r="F76" s="8">
        <v>275</v>
      </c>
      <c r="G76" s="8">
        <v>275</v>
      </c>
    </row>
    <row r="77" spans="1:7" x14ac:dyDescent="0.25">
      <c r="A77" s="7" t="s">
        <v>175</v>
      </c>
      <c r="B77" s="7" t="s">
        <v>176</v>
      </c>
      <c r="C77" s="7" t="s">
        <v>35</v>
      </c>
      <c r="D77" s="7" t="s">
        <v>61</v>
      </c>
      <c r="E77" s="7">
        <v>5</v>
      </c>
      <c r="F77" s="8">
        <v>45</v>
      </c>
      <c r="G77" s="8">
        <v>225</v>
      </c>
    </row>
    <row r="78" spans="1:7" x14ac:dyDescent="0.25">
      <c r="A78" s="7" t="s">
        <v>177</v>
      </c>
      <c r="B78" s="7" t="s">
        <v>178</v>
      </c>
      <c r="C78" s="7" t="s">
        <v>39</v>
      </c>
      <c r="D78" s="7" t="s">
        <v>45</v>
      </c>
      <c r="E78" s="7">
        <v>2</v>
      </c>
      <c r="F78" s="8">
        <v>12</v>
      </c>
      <c r="G78" s="8">
        <v>24</v>
      </c>
    </row>
    <row r="79" spans="1:7" x14ac:dyDescent="0.25">
      <c r="A79" s="7" t="s">
        <v>179</v>
      </c>
      <c r="B79" s="7" t="s">
        <v>180</v>
      </c>
      <c r="C79" s="7" t="s">
        <v>9</v>
      </c>
      <c r="D79" s="7" t="s">
        <v>79</v>
      </c>
      <c r="E79" s="7">
        <v>8</v>
      </c>
      <c r="F79" s="8">
        <v>28</v>
      </c>
      <c r="G79" s="8">
        <v>224</v>
      </c>
    </row>
    <row r="80" spans="1:7" x14ac:dyDescent="0.25">
      <c r="A80" s="7" t="s">
        <v>181</v>
      </c>
      <c r="B80" s="7" t="s">
        <v>182</v>
      </c>
      <c r="C80" s="7" t="s">
        <v>9</v>
      </c>
      <c r="D80" s="7" t="s">
        <v>61</v>
      </c>
      <c r="E80" s="7">
        <v>10</v>
      </c>
      <c r="F80" s="8">
        <v>45</v>
      </c>
      <c r="G80" s="8">
        <v>450</v>
      </c>
    </row>
    <row r="81" spans="1:7" x14ac:dyDescent="0.25">
      <c r="A81" s="7" t="s">
        <v>183</v>
      </c>
      <c r="B81" s="7" t="s">
        <v>184</v>
      </c>
      <c r="C81" s="7" t="s">
        <v>23</v>
      </c>
      <c r="D81" s="7" t="s">
        <v>36</v>
      </c>
      <c r="E81" s="7">
        <v>5</v>
      </c>
      <c r="F81" s="8">
        <v>18</v>
      </c>
      <c r="G81" s="8">
        <v>90</v>
      </c>
    </row>
    <row r="82" spans="1:7" x14ac:dyDescent="0.25">
      <c r="A82" s="7" t="s">
        <v>185</v>
      </c>
      <c r="B82" s="7" t="s">
        <v>186</v>
      </c>
      <c r="C82" s="7" t="s">
        <v>23</v>
      </c>
      <c r="D82" s="7" t="s">
        <v>14</v>
      </c>
      <c r="E82" s="7">
        <v>1</v>
      </c>
      <c r="F82" s="8">
        <v>275</v>
      </c>
      <c r="G82" s="8">
        <v>275</v>
      </c>
    </row>
    <row r="83" spans="1:7" x14ac:dyDescent="0.25">
      <c r="A83" s="7" t="s">
        <v>187</v>
      </c>
      <c r="B83" s="7" t="s">
        <v>188</v>
      </c>
      <c r="C83" s="7" t="s">
        <v>9</v>
      </c>
      <c r="D83" s="7" t="s">
        <v>56</v>
      </c>
      <c r="E83" s="7">
        <v>9</v>
      </c>
      <c r="F83" s="8">
        <v>110</v>
      </c>
      <c r="G83" s="8">
        <v>990</v>
      </c>
    </row>
    <row r="84" spans="1:7" x14ac:dyDescent="0.25">
      <c r="A84" s="7" t="s">
        <v>189</v>
      </c>
      <c r="B84" s="7" t="s">
        <v>190</v>
      </c>
      <c r="C84" s="7" t="s">
        <v>42</v>
      </c>
      <c r="D84" s="7" t="s">
        <v>96</v>
      </c>
      <c r="E84" s="7">
        <v>3</v>
      </c>
      <c r="F84" s="8">
        <v>30</v>
      </c>
      <c r="G84" s="8">
        <v>90</v>
      </c>
    </row>
    <row r="85" spans="1:7" x14ac:dyDescent="0.25">
      <c r="A85" s="7" t="s">
        <v>191</v>
      </c>
      <c r="B85" s="7" t="s">
        <v>192</v>
      </c>
      <c r="C85" s="7" t="s">
        <v>13</v>
      </c>
      <c r="D85" s="7" t="s">
        <v>61</v>
      </c>
      <c r="E85" s="7">
        <v>5</v>
      </c>
      <c r="F85" s="8">
        <v>45</v>
      </c>
      <c r="G85" s="8">
        <v>225</v>
      </c>
    </row>
    <row r="86" spans="1:7" x14ac:dyDescent="0.25">
      <c r="A86" s="7" t="s">
        <v>193</v>
      </c>
      <c r="B86" s="7" t="s">
        <v>194</v>
      </c>
      <c r="C86" s="7" t="s">
        <v>9</v>
      </c>
      <c r="D86" s="7" t="s">
        <v>79</v>
      </c>
      <c r="E86" s="7">
        <v>2</v>
      </c>
      <c r="F86" s="8">
        <v>28</v>
      </c>
      <c r="G86" s="8">
        <v>56</v>
      </c>
    </row>
    <row r="87" spans="1:7" x14ac:dyDescent="0.25">
      <c r="A87" s="7" t="s">
        <v>195</v>
      </c>
      <c r="B87" s="7" t="s">
        <v>196</v>
      </c>
      <c r="C87" s="7" t="s">
        <v>39</v>
      </c>
      <c r="D87" s="7" t="s">
        <v>73</v>
      </c>
      <c r="E87" s="7">
        <v>1</v>
      </c>
      <c r="F87" s="8">
        <v>10</v>
      </c>
      <c r="G87" s="8">
        <v>10</v>
      </c>
    </row>
    <row r="88" spans="1:7" x14ac:dyDescent="0.25">
      <c r="A88" s="7" t="s">
        <v>197</v>
      </c>
      <c r="B88" s="7" t="s">
        <v>198</v>
      </c>
      <c r="C88" s="7" t="s">
        <v>39</v>
      </c>
      <c r="D88" s="7" t="s">
        <v>14</v>
      </c>
      <c r="E88" s="7">
        <v>3</v>
      </c>
      <c r="F88" s="8">
        <v>275</v>
      </c>
      <c r="G88" s="8">
        <v>825</v>
      </c>
    </row>
    <row r="89" spans="1:7" x14ac:dyDescent="0.25">
      <c r="A89" s="7" t="s">
        <v>185</v>
      </c>
      <c r="B89" s="7" t="s">
        <v>186</v>
      </c>
      <c r="C89" s="7" t="s">
        <v>23</v>
      </c>
      <c r="D89" s="7" t="s">
        <v>14</v>
      </c>
      <c r="E89" s="7">
        <v>1</v>
      </c>
      <c r="F89" s="8">
        <v>275</v>
      </c>
      <c r="G89" s="8">
        <v>275</v>
      </c>
    </row>
    <row r="90" spans="1:7" x14ac:dyDescent="0.25">
      <c r="A90" s="7" t="s">
        <v>199</v>
      </c>
      <c r="B90" s="7" t="s">
        <v>200</v>
      </c>
      <c r="C90" s="7" t="s">
        <v>13</v>
      </c>
      <c r="D90" s="7" t="s">
        <v>26</v>
      </c>
      <c r="E90" s="7">
        <v>5</v>
      </c>
      <c r="F90" s="8">
        <v>85</v>
      </c>
      <c r="G90" s="8">
        <v>425</v>
      </c>
    </row>
    <row r="91" spans="1:7" x14ac:dyDescent="0.25">
      <c r="A91" s="7" t="s">
        <v>201</v>
      </c>
      <c r="B91" s="7" t="s">
        <v>176</v>
      </c>
      <c r="C91" s="7" t="s">
        <v>9</v>
      </c>
      <c r="D91" s="7" t="s">
        <v>79</v>
      </c>
      <c r="E91" s="7">
        <v>4</v>
      </c>
      <c r="F91" s="8">
        <v>28</v>
      </c>
      <c r="G91" s="8">
        <v>112</v>
      </c>
    </row>
    <row r="92" spans="1:7" x14ac:dyDescent="0.25">
      <c r="A92" s="7" t="s">
        <v>202</v>
      </c>
      <c r="B92" s="7" t="s">
        <v>203</v>
      </c>
      <c r="C92" s="7" t="s">
        <v>42</v>
      </c>
      <c r="D92" s="7" t="s">
        <v>26</v>
      </c>
      <c r="E92" s="7">
        <v>4</v>
      </c>
      <c r="F92" s="8">
        <v>85</v>
      </c>
      <c r="G92" s="8">
        <v>340</v>
      </c>
    </row>
    <row r="93" spans="1:7" x14ac:dyDescent="0.25">
      <c r="A93" s="7" t="s">
        <v>204</v>
      </c>
      <c r="B93" s="7" t="s">
        <v>205</v>
      </c>
      <c r="C93" s="7" t="s">
        <v>35</v>
      </c>
      <c r="D93" s="7" t="s">
        <v>76</v>
      </c>
      <c r="E93" s="7">
        <v>4</v>
      </c>
      <c r="F93" s="8">
        <v>15</v>
      </c>
      <c r="G93" s="8">
        <v>60</v>
      </c>
    </row>
    <row r="94" spans="1:7" x14ac:dyDescent="0.25">
      <c r="A94" s="7" t="s">
        <v>206</v>
      </c>
      <c r="B94" s="7" t="s">
        <v>207</v>
      </c>
      <c r="C94" s="7" t="s">
        <v>23</v>
      </c>
      <c r="D94" s="7" t="s">
        <v>20</v>
      </c>
      <c r="E94" s="7">
        <v>7</v>
      </c>
      <c r="F94" s="8">
        <v>65</v>
      </c>
      <c r="G94" s="8">
        <v>455</v>
      </c>
    </row>
    <row r="95" spans="1:7" x14ac:dyDescent="0.25">
      <c r="A95" s="7" t="s">
        <v>208</v>
      </c>
      <c r="B95" s="7" t="s">
        <v>209</v>
      </c>
      <c r="C95" s="7" t="s">
        <v>35</v>
      </c>
      <c r="D95" s="7" t="s">
        <v>26</v>
      </c>
      <c r="E95" s="7">
        <v>1</v>
      </c>
      <c r="F95" s="8">
        <v>85</v>
      </c>
      <c r="G95" s="8">
        <v>85</v>
      </c>
    </row>
    <row r="96" spans="1:7" x14ac:dyDescent="0.25">
      <c r="A96" s="7" t="s">
        <v>210</v>
      </c>
      <c r="B96" s="7" t="s">
        <v>211</v>
      </c>
      <c r="C96" s="7" t="s">
        <v>42</v>
      </c>
      <c r="D96" s="7" t="s">
        <v>56</v>
      </c>
      <c r="E96" s="7">
        <v>7</v>
      </c>
      <c r="F96" s="8">
        <v>110</v>
      </c>
      <c r="G96" s="8">
        <v>770</v>
      </c>
    </row>
    <row r="97" spans="1:7" x14ac:dyDescent="0.25">
      <c r="A97" s="7" t="s">
        <v>212</v>
      </c>
      <c r="B97" s="7" t="s">
        <v>213</v>
      </c>
      <c r="C97" s="7" t="s">
        <v>42</v>
      </c>
      <c r="D97" s="7" t="s">
        <v>36</v>
      </c>
      <c r="E97" s="7">
        <v>7</v>
      </c>
      <c r="F97" s="8">
        <v>18</v>
      </c>
      <c r="G97" s="8">
        <v>126</v>
      </c>
    </row>
    <row r="98" spans="1:7" x14ac:dyDescent="0.25">
      <c r="A98" s="7" t="s">
        <v>214</v>
      </c>
      <c r="B98" s="7" t="s">
        <v>215</v>
      </c>
      <c r="C98" s="7" t="s">
        <v>23</v>
      </c>
      <c r="D98" s="7" t="s">
        <v>76</v>
      </c>
      <c r="E98" s="7">
        <v>5</v>
      </c>
      <c r="F98" s="8">
        <v>15</v>
      </c>
      <c r="G98" s="8">
        <v>75</v>
      </c>
    </row>
    <row r="99" spans="1:7" x14ac:dyDescent="0.25">
      <c r="A99" s="7" t="s">
        <v>216</v>
      </c>
      <c r="B99" s="7" t="s">
        <v>134</v>
      </c>
      <c r="C99" s="7" t="s">
        <v>13</v>
      </c>
      <c r="D99" s="7" t="s">
        <v>96</v>
      </c>
      <c r="E99" s="7">
        <v>9</v>
      </c>
      <c r="F99" s="8">
        <v>30</v>
      </c>
      <c r="G99" s="8">
        <v>270</v>
      </c>
    </row>
    <row r="100" spans="1:7" x14ac:dyDescent="0.25">
      <c r="A100" s="7" t="s">
        <v>217</v>
      </c>
      <c r="B100" s="7" t="s">
        <v>218</v>
      </c>
      <c r="C100" s="7" t="s">
        <v>9</v>
      </c>
      <c r="D100" s="7" t="s">
        <v>64</v>
      </c>
      <c r="E100" s="7">
        <v>2</v>
      </c>
      <c r="F100" s="8">
        <v>10</v>
      </c>
      <c r="G100" s="8">
        <v>20</v>
      </c>
    </row>
    <row r="101" spans="1:7" x14ac:dyDescent="0.25">
      <c r="A101" s="7" t="s">
        <v>219</v>
      </c>
      <c r="B101" s="7" t="s">
        <v>220</v>
      </c>
      <c r="C101" s="7" t="s">
        <v>35</v>
      </c>
      <c r="D101" s="7" t="s">
        <v>32</v>
      </c>
      <c r="E101" s="7">
        <v>10</v>
      </c>
      <c r="F101" s="8">
        <v>15</v>
      </c>
      <c r="G101" s="8">
        <v>150</v>
      </c>
    </row>
    <row r="102" spans="1:7" x14ac:dyDescent="0.25">
      <c r="A102" s="7" t="s">
        <v>221</v>
      </c>
      <c r="B102" s="7" t="s">
        <v>222</v>
      </c>
      <c r="C102" s="7" t="s">
        <v>39</v>
      </c>
      <c r="D102" s="7" t="s">
        <v>29</v>
      </c>
      <c r="E102" s="7">
        <v>4</v>
      </c>
      <c r="F102" s="8">
        <v>95</v>
      </c>
      <c r="G102" s="8">
        <v>380</v>
      </c>
    </row>
    <row r="103" spans="1:7" x14ac:dyDescent="0.25">
      <c r="A103" s="7" t="s">
        <v>223</v>
      </c>
      <c r="B103" s="7" t="s">
        <v>224</v>
      </c>
      <c r="C103" s="7" t="s">
        <v>42</v>
      </c>
      <c r="D103" s="7" t="s">
        <v>20</v>
      </c>
      <c r="E103" s="7">
        <v>10</v>
      </c>
      <c r="F103" s="8">
        <v>65</v>
      </c>
      <c r="G103" s="8">
        <v>650</v>
      </c>
    </row>
    <row r="104" spans="1:7" x14ac:dyDescent="0.25">
      <c r="A104" s="7" t="s">
        <v>225</v>
      </c>
      <c r="B104" s="7" t="s">
        <v>226</v>
      </c>
      <c r="C104" s="7" t="s">
        <v>23</v>
      </c>
      <c r="D104" s="7" t="s">
        <v>73</v>
      </c>
      <c r="E104" s="7">
        <v>6</v>
      </c>
      <c r="F104" s="8">
        <v>10</v>
      </c>
      <c r="G104" s="8">
        <v>60</v>
      </c>
    </row>
    <row r="105" spans="1:7" x14ac:dyDescent="0.25">
      <c r="A105" s="7" t="s">
        <v>227</v>
      </c>
      <c r="B105" s="7" t="s">
        <v>228</v>
      </c>
      <c r="C105" s="7" t="s">
        <v>39</v>
      </c>
      <c r="D105" s="7" t="s">
        <v>61</v>
      </c>
      <c r="E105" s="7">
        <v>9</v>
      </c>
      <c r="F105" s="8">
        <v>45</v>
      </c>
      <c r="G105" s="8">
        <v>405</v>
      </c>
    </row>
    <row r="106" spans="1:7" x14ac:dyDescent="0.25">
      <c r="A106" s="7" t="s">
        <v>229</v>
      </c>
      <c r="B106" s="7" t="s">
        <v>230</v>
      </c>
      <c r="C106" s="7" t="s">
        <v>42</v>
      </c>
      <c r="D106" s="7" t="s">
        <v>36</v>
      </c>
      <c r="E106" s="7">
        <v>1</v>
      </c>
      <c r="F106" s="8">
        <v>18</v>
      </c>
      <c r="G106" s="8">
        <v>18</v>
      </c>
    </row>
    <row r="107" spans="1:7" x14ac:dyDescent="0.25">
      <c r="A107" s="7" t="s">
        <v>231</v>
      </c>
      <c r="B107" s="7" t="s">
        <v>198</v>
      </c>
      <c r="C107" s="7" t="s">
        <v>13</v>
      </c>
      <c r="D107" s="7" t="s">
        <v>17</v>
      </c>
      <c r="E107" s="7">
        <v>4</v>
      </c>
      <c r="F107" s="8">
        <v>20</v>
      </c>
      <c r="G107" s="8">
        <v>80</v>
      </c>
    </row>
    <row r="108" spans="1:7" x14ac:dyDescent="0.25">
      <c r="A108" s="7" t="s">
        <v>232</v>
      </c>
      <c r="B108" s="7" t="s">
        <v>70</v>
      </c>
      <c r="C108" s="7" t="s">
        <v>9</v>
      </c>
      <c r="D108" s="7" t="s">
        <v>20</v>
      </c>
      <c r="E108" s="7">
        <v>9</v>
      </c>
      <c r="F108" s="8">
        <v>65</v>
      </c>
      <c r="G108" s="8">
        <v>585</v>
      </c>
    </row>
    <row r="109" spans="1:7" x14ac:dyDescent="0.25">
      <c r="A109" s="7" t="s">
        <v>233</v>
      </c>
      <c r="B109" s="7" t="s">
        <v>234</v>
      </c>
      <c r="C109" s="7" t="s">
        <v>23</v>
      </c>
      <c r="D109" s="7" t="s">
        <v>10</v>
      </c>
      <c r="E109" s="7">
        <v>5</v>
      </c>
      <c r="F109" s="8">
        <v>22</v>
      </c>
      <c r="G109" s="8">
        <v>110</v>
      </c>
    </row>
    <row r="110" spans="1:7" x14ac:dyDescent="0.25">
      <c r="A110" s="7" t="s">
        <v>235</v>
      </c>
      <c r="B110" s="7" t="s">
        <v>236</v>
      </c>
      <c r="C110" s="7" t="s">
        <v>39</v>
      </c>
      <c r="D110" s="7" t="s">
        <v>20</v>
      </c>
      <c r="E110" s="7">
        <v>9</v>
      </c>
      <c r="F110" s="8">
        <v>65</v>
      </c>
      <c r="G110" s="8">
        <v>585</v>
      </c>
    </row>
    <row r="111" spans="1:7" x14ac:dyDescent="0.25">
      <c r="A111" s="7" t="s">
        <v>237</v>
      </c>
      <c r="B111" s="7" t="s">
        <v>238</v>
      </c>
      <c r="C111" s="7" t="s">
        <v>9</v>
      </c>
      <c r="D111" s="7" t="s">
        <v>73</v>
      </c>
      <c r="E111" s="7">
        <v>6</v>
      </c>
      <c r="F111" s="8">
        <v>10</v>
      </c>
      <c r="G111" s="8">
        <v>60</v>
      </c>
    </row>
    <row r="112" spans="1:7" x14ac:dyDescent="0.25">
      <c r="A112" s="7" t="s">
        <v>239</v>
      </c>
      <c r="B112" s="7" t="s">
        <v>240</v>
      </c>
      <c r="C112" s="7" t="s">
        <v>13</v>
      </c>
      <c r="D112" s="7" t="s">
        <v>45</v>
      </c>
      <c r="E112" s="7">
        <v>3</v>
      </c>
      <c r="F112" s="8">
        <v>12</v>
      </c>
      <c r="G112" s="8">
        <v>36</v>
      </c>
    </row>
    <row r="113" spans="1:7" x14ac:dyDescent="0.25">
      <c r="A113" s="7" t="s">
        <v>241</v>
      </c>
      <c r="B113" s="7" t="s">
        <v>242</v>
      </c>
      <c r="C113" s="7" t="s">
        <v>42</v>
      </c>
      <c r="D113" s="7" t="s">
        <v>64</v>
      </c>
      <c r="E113" s="7">
        <v>10</v>
      </c>
      <c r="F113" s="8">
        <v>10</v>
      </c>
      <c r="G113" s="8">
        <v>100</v>
      </c>
    </row>
    <row r="114" spans="1:7" x14ac:dyDescent="0.25">
      <c r="A114" s="7" t="s">
        <v>243</v>
      </c>
      <c r="B114" s="7" t="s">
        <v>244</v>
      </c>
      <c r="C114" s="7" t="s">
        <v>9</v>
      </c>
      <c r="D114" s="7" t="s">
        <v>45</v>
      </c>
      <c r="E114" s="7">
        <v>8</v>
      </c>
      <c r="F114" s="8">
        <v>12</v>
      </c>
      <c r="G114" s="8">
        <v>96</v>
      </c>
    </row>
    <row r="115" spans="1:7" x14ac:dyDescent="0.25">
      <c r="A115" s="7" t="s">
        <v>245</v>
      </c>
      <c r="B115" s="7" t="s">
        <v>240</v>
      </c>
      <c r="C115" s="7" t="s">
        <v>42</v>
      </c>
      <c r="D115" s="7" t="s">
        <v>20</v>
      </c>
      <c r="E115" s="7">
        <v>9</v>
      </c>
      <c r="F115" s="8">
        <v>65</v>
      </c>
      <c r="G115" s="8">
        <v>585</v>
      </c>
    </row>
    <row r="116" spans="1:7" x14ac:dyDescent="0.25">
      <c r="A116" s="7" t="s">
        <v>246</v>
      </c>
      <c r="B116" s="7" t="s">
        <v>247</v>
      </c>
      <c r="C116" s="7" t="s">
        <v>42</v>
      </c>
      <c r="D116" s="7" t="s">
        <v>26</v>
      </c>
      <c r="E116" s="7">
        <v>6</v>
      </c>
      <c r="F116" s="8">
        <v>85</v>
      </c>
      <c r="G116" s="8">
        <v>510</v>
      </c>
    </row>
    <row r="117" spans="1:7" x14ac:dyDescent="0.25">
      <c r="A117" s="7" t="s">
        <v>248</v>
      </c>
      <c r="B117" s="7" t="s">
        <v>249</v>
      </c>
      <c r="C117" s="7" t="s">
        <v>13</v>
      </c>
      <c r="D117" s="7" t="s">
        <v>79</v>
      </c>
      <c r="E117" s="7">
        <v>1</v>
      </c>
      <c r="F117" s="8">
        <v>28</v>
      </c>
      <c r="G117" s="8">
        <v>28</v>
      </c>
    </row>
    <row r="118" spans="1:7" x14ac:dyDescent="0.25">
      <c r="A118" s="7" t="s">
        <v>250</v>
      </c>
      <c r="B118" s="7" t="s">
        <v>251</v>
      </c>
      <c r="C118" s="7" t="s">
        <v>23</v>
      </c>
      <c r="D118" s="7" t="s">
        <v>10</v>
      </c>
      <c r="E118" s="7">
        <v>10</v>
      </c>
      <c r="F118" s="8">
        <v>22</v>
      </c>
      <c r="G118" s="8">
        <v>220</v>
      </c>
    </row>
    <row r="119" spans="1:7" x14ac:dyDescent="0.25">
      <c r="A119" s="7" t="s">
        <v>252</v>
      </c>
      <c r="B119" s="7" t="s">
        <v>253</v>
      </c>
      <c r="C119" s="7" t="s">
        <v>23</v>
      </c>
      <c r="D119" s="7" t="s">
        <v>32</v>
      </c>
      <c r="E119" s="7">
        <v>3</v>
      </c>
      <c r="F119" s="8">
        <v>15</v>
      </c>
      <c r="G119" s="8">
        <v>45</v>
      </c>
    </row>
    <row r="120" spans="1:7" x14ac:dyDescent="0.25">
      <c r="A120" s="7" t="s">
        <v>254</v>
      </c>
      <c r="B120" s="7" t="s">
        <v>255</v>
      </c>
      <c r="C120" s="7" t="s">
        <v>35</v>
      </c>
      <c r="D120" s="7" t="s">
        <v>36</v>
      </c>
      <c r="E120" s="7">
        <v>9</v>
      </c>
      <c r="F120" s="8">
        <v>18</v>
      </c>
      <c r="G120" s="8">
        <v>162</v>
      </c>
    </row>
    <row r="121" spans="1:7" x14ac:dyDescent="0.25">
      <c r="A121" s="7" t="s">
        <v>256</v>
      </c>
      <c r="B121" s="7" t="s">
        <v>257</v>
      </c>
      <c r="C121" s="7" t="s">
        <v>35</v>
      </c>
      <c r="D121" s="7" t="s">
        <v>17</v>
      </c>
      <c r="E121" s="7">
        <v>5</v>
      </c>
      <c r="F121" s="8">
        <v>20</v>
      </c>
      <c r="G121" s="8">
        <v>100</v>
      </c>
    </row>
    <row r="122" spans="1:7" x14ac:dyDescent="0.25">
      <c r="A122" s="7" t="s">
        <v>258</v>
      </c>
      <c r="B122" s="7" t="s">
        <v>259</v>
      </c>
      <c r="C122" s="7" t="s">
        <v>39</v>
      </c>
      <c r="D122" s="7" t="s">
        <v>17</v>
      </c>
      <c r="E122" s="7">
        <v>10</v>
      </c>
      <c r="F122" s="8">
        <v>20</v>
      </c>
      <c r="G122" s="8">
        <v>200</v>
      </c>
    </row>
    <row r="123" spans="1:7" x14ac:dyDescent="0.25">
      <c r="A123" s="7" t="s">
        <v>260</v>
      </c>
      <c r="B123" s="7" t="s">
        <v>261</v>
      </c>
      <c r="C123" s="7" t="s">
        <v>13</v>
      </c>
      <c r="D123" s="7" t="s">
        <v>56</v>
      </c>
      <c r="E123" s="7">
        <v>8</v>
      </c>
      <c r="F123" s="8">
        <v>110</v>
      </c>
      <c r="G123" s="8">
        <v>880</v>
      </c>
    </row>
    <row r="124" spans="1:7" x14ac:dyDescent="0.25">
      <c r="A124" s="7" t="s">
        <v>262</v>
      </c>
      <c r="B124" s="7" t="s">
        <v>263</v>
      </c>
      <c r="C124" s="7" t="s">
        <v>42</v>
      </c>
      <c r="D124" s="7" t="s">
        <v>96</v>
      </c>
      <c r="E124" s="7">
        <v>8</v>
      </c>
      <c r="F124" s="8">
        <v>30</v>
      </c>
      <c r="G124" s="8">
        <v>240</v>
      </c>
    </row>
    <row r="125" spans="1:7" x14ac:dyDescent="0.25">
      <c r="A125" s="7" t="s">
        <v>264</v>
      </c>
      <c r="B125" s="7" t="s">
        <v>265</v>
      </c>
      <c r="C125" s="7" t="s">
        <v>23</v>
      </c>
      <c r="D125" s="7" t="s">
        <v>96</v>
      </c>
      <c r="E125" s="7">
        <v>3</v>
      </c>
      <c r="F125" s="8">
        <v>30</v>
      </c>
      <c r="G125" s="8">
        <v>90</v>
      </c>
    </row>
    <row r="126" spans="1:7" x14ac:dyDescent="0.25">
      <c r="A126" s="7" t="s">
        <v>266</v>
      </c>
      <c r="B126" s="7" t="s">
        <v>267</v>
      </c>
      <c r="C126" s="7" t="s">
        <v>9</v>
      </c>
      <c r="D126" s="7" t="s">
        <v>79</v>
      </c>
      <c r="E126" s="7">
        <v>9</v>
      </c>
      <c r="F126" s="8">
        <v>28</v>
      </c>
      <c r="G126" s="8">
        <v>252</v>
      </c>
    </row>
    <row r="127" spans="1:7" x14ac:dyDescent="0.25">
      <c r="A127" s="7" t="s">
        <v>268</v>
      </c>
      <c r="B127" s="7" t="s">
        <v>269</v>
      </c>
      <c r="C127" s="7" t="s">
        <v>23</v>
      </c>
      <c r="D127" s="7" t="s">
        <v>10</v>
      </c>
      <c r="E127" s="7">
        <v>2</v>
      </c>
      <c r="F127" s="8">
        <v>22</v>
      </c>
      <c r="G127" s="8">
        <v>44</v>
      </c>
    </row>
    <row r="128" spans="1:7" x14ac:dyDescent="0.25">
      <c r="A128" s="7" t="s">
        <v>270</v>
      </c>
      <c r="B128" s="7" t="s">
        <v>271</v>
      </c>
      <c r="C128" s="7" t="s">
        <v>35</v>
      </c>
      <c r="D128" s="7" t="s">
        <v>14</v>
      </c>
      <c r="E128" s="7">
        <v>6</v>
      </c>
      <c r="F128" s="8">
        <v>275</v>
      </c>
      <c r="G128" s="8">
        <v>1650</v>
      </c>
    </row>
    <row r="129" spans="1:7" x14ac:dyDescent="0.25">
      <c r="A129" s="7" t="s">
        <v>272</v>
      </c>
      <c r="B129" s="7" t="s">
        <v>273</v>
      </c>
      <c r="C129" s="7" t="s">
        <v>35</v>
      </c>
      <c r="D129" s="7" t="s">
        <v>32</v>
      </c>
      <c r="E129" s="7">
        <v>4</v>
      </c>
      <c r="F129" s="8">
        <v>15</v>
      </c>
      <c r="G129" s="8">
        <v>60</v>
      </c>
    </row>
    <row r="130" spans="1:7" x14ac:dyDescent="0.25">
      <c r="A130" s="7" t="s">
        <v>274</v>
      </c>
      <c r="B130" s="7" t="s">
        <v>275</v>
      </c>
      <c r="C130" s="7" t="s">
        <v>13</v>
      </c>
      <c r="D130" s="7" t="s">
        <v>20</v>
      </c>
      <c r="E130" s="7">
        <v>10</v>
      </c>
      <c r="F130" s="8">
        <v>65</v>
      </c>
      <c r="G130" s="8">
        <v>650</v>
      </c>
    </row>
    <row r="131" spans="1:7" x14ac:dyDescent="0.25">
      <c r="A131" s="7" t="s">
        <v>276</v>
      </c>
      <c r="B131" s="7" t="s">
        <v>277</v>
      </c>
      <c r="C131" s="7" t="s">
        <v>42</v>
      </c>
      <c r="D131" s="7" t="s">
        <v>14</v>
      </c>
      <c r="E131" s="7">
        <v>3</v>
      </c>
      <c r="F131" s="8">
        <v>275</v>
      </c>
      <c r="G131" s="8">
        <v>825</v>
      </c>
    </row>
    <row r="132" spans="1:7" x14ac:dyDescent="0.25">
      <c r="A132" s="7" t="s">
        <v>278</v>
      </c>
      <c r="B132" s="7" t="s">
        <v>279</v>
      </c>
      <c r="C132" s="7" t="s">
        <v>35</v>
      </c>
      <c r="D132" s="7" t="s">
        <v>73</v>
      </c>
      <c r="E132" s="7">
        <v>5</v>
      </c>
      <c r="F132" s="8">
        <v>10</v>
      </c>
      <c r="G132" s="8">
        <v>50</v>
      </c>
    </row>
    <row r="133" spans="1:7" x14ac:dyDescent="0.25">
      <c r="A133" s="7" t="s">
        <v>280</v>
      </c>
      <c r="B133" s="7" t="s">
        <v>281</v>
      </c>
      <c r="C133" s="7" t="s">
        <v>23</v>
      </c>
      <c r="D133" s="7" t="s">
        <v>32</v>
      </c>
      <c r="E133" s="7"/>
      <c r="F133" s="8">
        <v>15</v>
      </c>
      <c r="G133" s="8"/>
    </row>
    <row r="134" spans="1:7" x14ac:dyDescent="0.25">
      <c r="A134" s="7" t="s">
        <v>282</v>
      </c>
      <c r="B134" s="7" t="s">
        <v>283</v>
      </c>
      <c r="C134" s="7" t="s">
        <v>9</v>
      </c>
      <c r="D134" s="7" t="s">
        <v>29</v>
      </c>
      <c r="E134" s="7">
        <v>5</v>
      </c>
      <c r="F134" s="8">
        <v>95</v>
      </c>
      <c r="G134" s="8">
        <v>475</v>
      </c>
    </row>
    <row r="135" spans="1:7" x14ac:dyDescent="0.25">
      <c r="A135" s="7" t="s">
        <v>284</v>
      </c>
      <c r="B135" s="7" t="s">
        <v>203</v>
      </c>
      <c r="C135" s="7" t="s">
        <v>35</v>
      </c>
      <c r="D135" s="7" t="s">
        <v>45</v>
      </c>
      <c r="E135" s="7">
        <v>1</v>
      </c>
      <c r="F135" s="8">
        <v>12</v>
      </c>
      <c r="G135" s="8">
        <v>12</v>
      </c>
    </row>
    <row r="136" spans="1:7" x14ac:dyDescent="0.25">
      <c r="A136" s="7" t="s">
        <v>285</v>
      </c>
      <c r="B136" s="7" t="s">
        <v>286</v>
      </c>
      <c r="C136" s="7" t="s">
        <v>13</v>
      </c>
      <c r="D136" s="7" t="s">
        <v>79</v>
      </c>
      <c r="E136" s="7">
        <v>5</v>
      </c>
      <c r="F136" s="8">
        <v>28</v>
      </c>
      <c r="G136" s="8">
        <v>140</v>
      </c>
    </row>
    <row r="137" spans="1:7" x14ac:dyDescent="0.25">
      <c r="A137" s="7" t="s">
        <v>287</v>
      </c>
      <c r="B137" s="7" t="s">
        <v>288</v>
      </c>
      <c r="C137" s="7" t="s">
        <v>42</v>
      </c>
      <c r="D137" s="7" t="s">
        <v>10</v>
      </c>
      <c r="E137" s="7">
        <v>2</v>
      </c>
      <c r="F137" s="8">
        <v>22</v>
      </c>
      <c r="G137" s="8">
        <v>44</v>
      </c>
    </row>
    <row r="138" spans="1:7" x14ac:dyDescent="0.25">
      <c r="A138" s="7" t="s">
        <v>289</v>
      </c>
      <c r="B138" s="7" t="s">
        <v>290</v>
      </c>
      <c r="C138" s="7" t="s">
        <v>9</v>
      </c>
      <c r="D138" s="7" t="s">
        <v>56</v>
      </c>
      <c r="E138" s="7">
        <v>1</v>
      </c>
      <c r="F138" s="8">
        <v>110</v>
      </c>
      <c r="G138" s="8">
        <v>110</v>
      </c>
    </row>
    <row r="139" spans="1:7" x14ac:dyDescent="0.25">
      <c r="A139" s="7" t="s">
        <v>291</v>
      </c>
      <c r="B139" s="7" t="s">
        <v>292</v>
      </c>
      <c r="C139" s="7" t="s">
        <v>35</v>
      </c>
      <c r="D139" s="7" t="s">
        <v>26</v>
      </c>
      <c r="E139" s="7">
        <v>6</v>
      </c>
      <c r="F139" s="8">
        <v>85</v>
      </c>
      <c r="G139" s="8">
        <v>510</v>
      </c>
    </row>
    <row r="140" spans="1:7" x14ac:dyDescent="0.25">
      <c r="A140" s="7" t="s">
        <v>293</v>
      </c>
      <c r="B140" s="7" t="s">
        <v>240</v>
      </c>
      <c r="C140" s="7" t="s">
        <v>23</v>
      </c>
      <c r="D140" s="7" t="s">
        <v>45</v>
      </c>
      <c r="E140" s="7">
        <v>7</v>
      </c>
      <c r="F140" s="8">
        <v>12</v>
      </c>
      <c r="G140" s="8">
        <v>84</v>
      </c>
    </row>
    <row r="141" spans="1:7" x14ac:dyDescent="0.25">
      <c r="A141" s="7" t="s">
        <v>294</v>
      </c>
      <c r="B141" s="7" t="s">
        <v>295</v>
      </c>
      <c r="C141" s="7" t="s">
        <v>13</v>
      </c>
      <c r="D141" s="7" t="s">
        <v>79</v>
      </c>
      <c r="E141" s="7">
        <v>2</v>
      </c>
      <c r="F141" s="8">
        <v>28</v>
      </c>
      <c r="G141" s="8">
        <v>56</v>
      </c>
    </row>
    <row r="142" spans="1:7" x14ac:dyDescent="0.25">
      <c r="A142" s="7" t="s">
        <v>296</v>
      </c>
      <c r="B142" s="7" t="s">
        <v>297</v>
      </c>
      <c r="C142" s="7" t="s">
        <v>42</v>
      </c>
      <c r="D142" s="7" t="s">
        <v>45</v>
      </c>
      <c r="E142" s="7"/>
      <c r="F142" s="8">
        <v>12</v>
      </c>
      <c r="G142" s="8"/>
    </row>
    <row r="143" spans="1:7" x14ac:dyDescent="0.25">
      <c r="A143" s="7" t="s">
        <v>298</v>
      </c>
      <c r="B143" s="7" t="s">
        <v>299</v>
      </c>
      <c r="C143" s="7" t="s">
        <v>42</v>
      </c>
      <c r="D143" s="7" t="s">
        <v>32</v>
      </c>
      <c r="E143" s="7">
        <v>2</v>
      </c>
      <c r="F143" s="8">
        <v>15</v>
      </c>
      <c r="G143" s="8">
        <v>30</v>
      </c>
    </row>
    <row r="144" spans="1:7" x14ac:dyDescent="0.25">
      <c r="A144" s="7" t="s">
        <v>300</v>
      </c>
      <c r="B144" s="7" t="s">
        <v>301</v>
      </c>
      <c r="C144" s="7" t="s">
        <v>23</v>
      </c>
      <c r="D144" s="7" t="s">
        <v>14</v>
      </c>
      <c r="E144" s="7">
        <v>7</v>
      </c>
      <c r="F144" s="8">
        <v>275</v>
      </c>
      <c r="G144" s="8">
        <v>1925</v>
      </c>
    </row>
    <row r="145" spans="1:7" x14ac:dyDescent="0.25">
      <c r="A145" s="7" t="s">
        <v>302</v>
      </c>
      <c r="B145" s="7" t="s">
        <v>303</v>
      </c>
      <c r="C145" s="7" t="s">
        <v>9</v>
      </c>
      <c r="D145" s="7" t="s">
        <v>29</v>
      </c>
      <c r="E145" s="7">
        <v>2</v>
      </c>
      <c r="F145" s="8">
        <v>95</v>
      </c>
      <c r="G145" s="8">
        <v>190</v>
      </c>
    </row>
    <row r="146" spans="1:7" x14ac:dyDescent="0.25">
      <c r="A146" s="7" t="s">
        <v>304</v>
      </c>
      <c r="B146" s="7" t="s">
        <v>305</v>
      </c>
      <c r="C146" s="7" t="s">
        <v>39</v>
      </c>
      <c r="D146" s="7" t="s">
        <v>32</v>
      </c>
      <c r="E146" s="7">
        <v>5</v>
      </c>
      <c r="F146" s="8">
        <v>15</v>
      </c>
      <c r="G146" s="8">
        <v>75</v>
      </c>
    </row>
    <row r="147" spans="1:7" x14ac:dyDescent="0.25">
      <c r="A147" s="7" t="s">
        <v>306</v>
      </c>
      <c r="B147" s="7" t="s">
        <v>307</v>
      </c>
      <c r="C147" s="7" t="s">
        <v>23</v>
      </c>
      <c r="D147" s="7" t="s">
        <v>26</v>
      </c>
      <c r="E147" s="7">
        <v>7</v>
      </c>
      <c r="F147" s="8">
        <v>85</v>
      </c>
      <c r="G147" s="8">
        <v>595</v>
      </c>
    </row>
    <row r="148" spans="1:7" x14ac:dyDescent="0.25">
      <c r="A148" s="7" t="s">
        <v>308</v>
      </c>
      <c r="B148" s="7" t="s">
        <v>309</v>
      </c>
      <c r="C148" s="7" t="s">
        <v>42</v>
      </c>
      <c r="D148" s="7" t="s">
        <v>96</v>
      </c>
      <c r="E148" s="7">
        <v>6</v>
      </c>
      <c r="F148" s="8">
        <v>30</v>
      </c>
      <c r="G148" s="8">
        <v>180</v>
      </c>
    </row>
    <row r="149" spans="1:7" x14ac:dyDescent="0.25">
      <c r="A149" s="7" t="s">
        <v>310</v>
      </c>
      <c r="B149" s="7" t="s">
        <v>228</v>
      </c>
      <c r="C149" s="7" t="s">
        <v>35</v>
      </c>
      <c r="D149" s="7" t="s">
        <v>10</v>
      </c>
      <c r="E149" s="7">
        <v>9</v>
      </c>
      <c r="F149" s="8">
        <v>22</v>
      </c>
      <c r="G149" s="8">
        <v>198</v>
      </c>
    </row>
    <row r="150" spans="1:7" x14ac:dyDescent="0.25">
      <c r="A150" s="7" t="s">
        <v>311</v>
      </c>
      <c r="B150" s="7" t="s">
        <v>312</v>
      </c>
      <c r="C150" s="7" t="s">
        <v>13</v>
      </c>
      <c r="D150" s="7" t="s">
        <v>76</v>
      </c>
      <c r="E150" s="7">
        <v>10</v>
      </c>
      <c r="F150" s="8">
        <v>15</v>
      </c>
      <c r="G150" s="8">
        <v>150</v>
      </c>
    </row>
    <row r="151" spans="1:7" x14ac:dyDescent="0.25">
      <c r="A151" s="7" t="s">
        <v>313</v>
      </c>
      <c r="B151" s="7" t="s">
        <v>314</v>
      </c>
      <c r="C151" s="7" t="s">
        <v>9</v>
      </c>
      <c r="D151" s="7" t="s">
        <v>73</v>
      </c>
      <c r="E151" s="7">
        <v>5</v>
      </c>
      <c r="F151" s="8">
        <v>10</v>
      </c>
      <c r="G151" s="8">
        <v>50</v>
      </c>
    </row>
    <row r="152" spans="1:7" x14ac:dyDescent="0.25">
      <c r="A152" s="7" t="s">
        <v>315</v>
      </c>
      <c r="B152" s="7" t="s">
        <v>316</v>
      </c>
      <c r="C152" s="7" t="s">
        <v>13</v>
      </c>
      <c r="D152" s="7" t="s">
        <v>45</v>
      </c>
      <c r="E152" s="7"/>
      <c r="F152" s="8">
        <v>12</v>
      </c>
      <c r="G152" s="8"/>
    </row>
    <row r="153" spans="1:7" x14ac:dyDescent="0.25">
      <c r="A153" s="7" t="s">
        <v>317</v>
      </c>
      <c r="B153" s="7" t="s">
        <v>318</v>
      </c>
      <c r="C153" s="7" t="s">
        <v>35</v>
      </c>
      <c r="D153" s="7" t="s">
        <v>76</v>
      </c>
      <c r="E153" s="7">
        <v>7</v>
      </c>
      <c r="F153" s="8">
        <v>15</v>
      </c>
      <c r="G153" s="8">
        <v>105</v>
      </c>
    </row>
    <row r="154" spans="1:7" x14ac:dyDescent="0.25">
      <c r="A154" s="7" t="s">
        <v>319</v>
      </c>
      <c r="B154" s="7" t="s">
        <v>320</v>
      </c>
      <c r="C154" s="7" t="s">
        <v>42</v>
      </c>
      <c r="D154" s="7" t="s">
        <v>10</v>
      </c>
      <c r="E154" s="7">
        <v>7</v>
      </c>
      <c r="F154" s="8">
        <v>22</v>
      </c>
      <c r="G154" s="8">
        <v>154</v>
      </c>
    </row>
    <row r="155" spans="1:7" x14ac:dyDescent="0.25">
      <c r="A155" s="7" t="s">
        <v>321</v>
      </c>
      <c r="B155" s="7" t="s">
        <v>322</v>
      </c>
      <c r="C155" s="7" t="s">
        <v>23</v>
      </c>
      <c r="D155" s="7" t="s">
        <v>10</v>
      </c>
      <c r="E155" s="7">
        <v>10</v>
      </c>
      <c r="F155" s="8">
        <v>22</v>
      </c>
      <c r="G155" s="8">
        <v>220</v>
      </c>
    </row>
    <row r="156" spans="1:7" x14ac:dyDescent="0.25">
      <c r="A156" s="7" t="s">
        <v>323</v>
      </c>
      <c r="B156" s="7" t="s">
        <v>324</v>
      </c>
      <c r="C156" s="7" t="s">
        <v>39</v>
      </c>
      <c r="D156" s="7" t="s">
        <v>76</v>
      </c>
      <c r="E156" s="7">
        <v>3</v>
      </c>
      <c r="F156" s="8">
        <v>15</v>
      </c>
      <c r="G156" s="8">
        <v>45</v>
      </c>
    </row>
    <row r="157" spans="1:7" x14ac:dyDescent="0.25">
      <c r="A157" s="7" t="s">
        <v>325</v>
      </c>
      <c r="B157" s="7" t="s">
        <v>326</v>
      </c>
      <c r="C157" s="7" t="s">
        <v>39</v>
      </c>
      <c r="D157" s="7" t="s">
        <v>56</v>
      </c>
      <c r="E157" s="7">
        <v>2</v>
      </c>
      <c r="F157" s="8">
        <v>110</v>
      </c>
      <c r="G157" s="8">
        <v>220</v>
      </c>
    </row>
    <row r="158" spans="1:7" x14ac:dyDescent="0.25">
      <c r="A158" s="7" t="s">
        <v>327</v>
      </c>
      <c r="B158" s="7" t="s">
        <v>328</v>
      </c>
      <c r="C158" s="7" t="s">
        <v>35</v>
      </c>
      <c r="D158" s="7" t="s">
        <v>79</v>
      </c>
      <c r="E158" s="7">
        <v>5</v>
      </c>
      <c r="F158" s="8">
        <v>28</v>
      </c>
      <c r="G158" s="8">
        <v>140</v>
      </c>
    </row>
    <row r="159" spans="1:7" x14ac:dyDescent="0.25">
      <c r="A159" s="7" t="s">
        <v>329</v>
      </c>
      <c r="B159" s="7" t="s">
        <v>330</v>
      </c>
      <c r="C159" s="7" t="s">
        <v>13</v>
      </c>
      <c r="D159" s="7" t="s">
        <v>32</v>
      </c>
      <c r="E159" s="7">
        <v>5</v>
      </c>
      <c r="F159" s="8">
        <v>15</v>
      </c>
      <c r="G159" s="8">
        <v>75</v>
      </c>
    </row>
    <row r="160" spans="1:7" x14ac:dyDescent="0.25">
      <c r="A160" s="7" t="s">
        <v>331</v>
      </c>
      <c r="B160" s="7" t="s">
        <v>152</v>
      </c>
      <c r="C160" s="7" t="s">
        <v>13</v>
      </c>
      <c r="D160" s="7" t="s">
        <v>17</v>
      </c>
      <c r="E160" s="7">
        <v>7</v>
      </c>
      <c r="F160" s="8">
        <v>20</v>
      </c>
      <c r="G160" s="8">
        <v>140</v>
      </c>
    </row>
    <row r="161" spans="1:7" x14ac:dyDescent="0.25">
      <c r="A161" s="7" t="s">
        <v>332</v>
      </c>
      <c r="B161" s="7" t="s">
        <v>333</v>
      </c>
      <c r="C161" s="7" t="s">
        <v>23</v>
      </c>
      <c r="D161" s="7" t="s">
        <v>76</v>
      </c>
      <c r="E161" s="7">
        <v>10</v>
      </c>
      <c r="F161" s="8">
        <v>15</v>
      </c>
      <c r="G161" s="8">
        <v>150</v>
      </c>
    </row>
    <row r="162" spans="1:7" x14ac:dyDescent="0.25">
      <c r="A162" s="7" t="s">
        <v>334</v>
      </c>
      <c r="B162" s="7" t="s">
        <v>335</v>
      </c>
      <c r="C162" s="7" t="s">
        <v>39</v>
      </c>
      <c r="D162" s="7" t="s">
        <v>10</v>
      </c>
      <c r="E162" s="7">
        <v>5</v>
      </c>
      <c r="F162" s="8">
        <v>22</v>
      </c>
      <c r="G162" s="8">
        <v>110</v>
      </c>
    </row>
    <row r="163" spans="1:7" x14ac:dyDescent="0.25">
      <c r="A163" s="7" t="s">
        <v>336</v>
      </c>
      <c r="B163" s="7" t="s">
        <v>337</v>
      </c>
      <c r="C163" s="7" t="s">
        <v>42</v>
      </c>
      <c r="D163" s="7" t="s">
        <v>64</v>
      </c>
      <c r="E163" s="7">
        <v>10</v>
      </c>
      <c r="F163" s="8">
        <v>10</v>
      </c>
      <c r="G163" s="8">
        <v>100</v>
      </c>
    </row>
    <row r="164" spans="1:7" x14ac:dyDescent="0.25">
      <c r="A164" s="7" t="s">
        <v>338</v>
      </c>
      <c r="B164" s="7" t="s">
        <v>339</v>
      </c>
      <c r="C164" s="7" t="s">
        <v>35</v>
      </c>
      <c r="D164" s="7" t="s">
        <v>79</v>
      </c>
      <c r="E164" s="7">
        <v>7</v>
      </c>
      <c r="F164" s="8">
        <v>28</v>
      </c>
      <c r="G164" s="8">
        <v>196</v>
      </c>
    </row>
    <row r="165" spans="1:7" x14ac:dyDescent="0.25">
      <c r="A165" s="7" t="s">
        <v>340</v>
      </c>
      <c r="B165" s="7" t="s">
        <v>341</v>
      </c>
      <c r="C165" s="7" t="s">
        <v>13</v>
      </c>
      <c r="D165" s="7" t="s">
        <v>10</v>
      </c>
      <c r="E165" s="7">
        <v>5</v>
      </c>
      <c r="F165" s="8">
        <v>22</v>
      </c>
      <c r="G165" s="8">
        <v>110</v>
      </c>
    </row>
    <row r="166" spans="1:7" x14ac:dyDescent="0.25">
      <c r="A166" s="7" t="s">
        <v>342</v>
      </c>
      <c r="B166" s="7" t="s">
        <v>343</v>
      </c>
      <c r="C166" s="7" t="s">
        <v>23</v>
      </c>
      <c r="D166" s="7" t="s">
        <v>36</v>
      </c>
      <c r="E166" s="7">
        <v>8</v>
      </c>
      <c r="F166" s="8">
        <v>18</v>
      </c>
      <c r="G166" s="8">
        <v>144</v>
      </c>
    </row>
    <row r="167" spans="1:7" x14ac:dyDescent="0.25">
      <c r="A167" s="7" t="s">
        <v>344</v>
      </c>
      <c r="B167" s="7" t="s">
        <v>345</v>
      </c>
      <c r="C167" s="7" t="s">
        <v>13</v>
      </c>
      <c r="D167" s="7" t="s">
        <v>79</v>
      </c>
      <c r="E167" s="7">
        <v>1</v>
      </c>
      <c r="F167" s="8">
        <v>28</v>
      </c>
      <c r="G167" s="8">
        <v>28</v>
      </c>
    </row>
    <row r="168" spans="1:7" x14ac:dyDescent="0.25">
      <c r="A168" s="7" t="s">
        <v>346</v>
      </c>
      <c r="B168" s="7" t="s">
        <v>347</v>
      </c>
      <c r="C168" s="7" t="s">
        <v>23</v>
      </c>
      <c r="D168" s="7" t="s">
        <v>29</v>
      </c>
      <c r="E168" s="7">
        <v>3</v>
      </c>
      <c r="F168" s="8">
        <v>95</v>
      </c>
      <c r="G168" s="8">
        <v>285</v>
      </c>
    </row>
    <row r="169" spans="1:7" x14ac:dyDescent="0.25">
      <c r="A169" s="7" t="s">
        <v>348</v>
      </c>
      <c r="B169" s="7" t="s">
        <v>349</v>
      </c>
      <c r="C169" s="7" t="s">
        <v>35</v>
      </c>
      <c r="D169" s="7" t="s">
        <v>20</v>
      </c>
      <c r="E169" s="7">
        <v>10</v>
      </c>
      <c r="F169" s="8">
        <v>65</v>
      </c>
      <c r="G169" s="8">
        <v>650</v>
      </c>
    </row>
    <row r="170" spans="1:7" x14ac:dyDescent="0.25">
      <c r="A170" s="7" t="s">
        <v>350</v>
      </c>
      <c r="B170" s="7" t="s">
        <v>351</v>
      </c>
      <c r="C170" s="7" t="s">
        <v>13</v>
      </c>
      <c r="D170" s="7" t="s">
        <v>56</v>
      </c>
      <c r="E170" s="7"/>
      <c r="F170" s="8">
        <v>110</v>
      </c>
      <c r="G170" s="8"/>
    </row>
    <row r="171" spans="1:7" x14ac:dyDescent="0.25">
      <c r="A171" s="7" t="s">
        <v>272</v>
      </c>
      <c r="B171" s="7" t="s">
        <v>273</v>
      </c>
      <c r="C171" s="7" t="s">
        <v>35</v>
      </c>
      <c r="D171" s="7" t="s">
        <v>32</v>
      </c>
      <c r="E171" s="7">
        <v>4</v>
      </c>
      <c r="F171" s="8">
        <v>15</v>
      </c>
      <c r="G171" s="8">
        <v>60</v>
      </c>
    </row>
    <row r="172" spans="1:7" x14ac:dyDescent="0.25">
      <c r="A172" s="7" t="s">
        <v>352</v>
      </c>
      <c r="B172" s="7" t="s">
        <v>353</v>
      </c>
      <c r="C172" s="7" t="s">
        <v>13</v>
      </c>
      <c r="D172" s="7" t="s">
        <v>36</v>
      </c>
      <c r="E172" s="7">
        <v>10</v>
      </c>
      <c r="F172" s="8">
        <v>18</v>
      </c>
      <c r="G172" s="8">
        <v>180</v>
      </c>
    </row>
    <row r="173" spans="1:7" x14ac:dyDescent="0.25">
      <c r="A173" s="7" t="s">
        <v>354</v>
      </c>
      <c r="B173" s="7" t="s">
        <v>95</v>
      </c>
      <c r="C173" s="7" t="s">
        <v>9</v>
      </c>
      <c r="D173" s="7" t="s">
        <v>29</v>
      </c>
      <c r="E173" s="7">
        <v>1</v>
      </c>
      <c r="F173" s="8">
        <v>95</v>
      </c>
      <c r="G173" s="8">
        <v>95</v>
      </c>
    </row>
    <row r="174" spans="1:7" x14ac:dyDescent="0.25">
      <c r="A174" s="7" t="s">
        <v>355</v>
      </c>
      <c r="B174" s="7" t="s">
        <v>356</v>
      </c>
      <c r="C174" s="7" t="s">
        <v>23</v>
      </c>
      <c r="D174" s="7" t="s">
        <v>14</v>
      </c>
      <c r="E174" s="7">
        <v>10</v>
      </c>
      <c r="F174" s="8">
        <v>275</v>
      </c>
      <c r="G174" s="8">
        <v>2750</v>
      </c>
    </row>
    <row r="175" spans="1:7" x14ac:dyDescent="0.25">
      <c r="A175" s="7" t="s">
        <v>357</v>
      </c>
      <c r="B175" s="7" t="s">
        <v>358</v>
      </c>
      <c r="C175" s="7" t="s">
        <v>42</v>
      </c>
      <c r="D175" s="7" t="s">
        <v>61</v>
      </c>
      <c r="E175" s="7"/>
      <c r="F175" s="8">
        <v>45</v>
      </c>
      <c r="G175" s="8"/>
    </row>
    <row r="176" spans="1:7" x14ac:dyDescent="0.25">
      <c r="A176" s="7" t="s">
        <v>359</v>
      </c>
      <c r="B176" s="7" t="s">
        <v>360</v>
      </c>
      <c r="C176" s="7" t="s">
        <v>39</v>
      </c>
      <c r="D176" s="7" t="s">
        <v>76</v>
      </c>
      <c r="E176" s="7">
        <v>4</v>
      </c>
      <c r="F176" s="8">
        <v>15</v>
      </c>
      <c r="G176" s="8">
        <v>60</v>
      </c>
    </row>
    <row r="177" spans="1:7" x14ac:dyDescent="0.25">
      <c r="A177" s="7" t="s">
        <v>361</v>
      </c>
      <c r="B177" s="7" t="s">
        <v>362</v>
      </c>
      <c r="C177" s="7" t="s">
        <v>42</v>
      </c>
      <c r="D177" s="7" t="s">
        <v>56</v>
      </c>
      <c r="E177" s="7">
        <v>3</v>
      </c>
      <c r="F177" s="8">
        <v>110</v>
      </c>
      <c r="G177" s="8">
        <v>330</v>
      </c>
    </row>
    <row r="178" spans="1:7" x14ac:dyDescent="0.25">
      <c r="A178" s="7" t="s">
        <v>363</v>
      </c>
      <c r="B178" s="7" t="s">
        <v>364</v>
      </c>
      <c r="C178" s="7" t="s">
        <v>9</v>
      </c>
      <c r="D178" s="7" t="s">
        <v>79</v>
      </c>
      <c r="E178" s="7">
        <v>1</v>
      </c>
      <c r="F178" s="8">
        <v>28</v>
      </c>
      <c r="G178" s="8">
        <v>28</v>
      </c>
    </row>
    <row r="179" spans="1:7" x14ac:dyDescent="0.25">
      <c r="A179" s="7" t="s">
        <v>365</v>
      </c>
      <c r="B179" s="7" t="s">
        <v>366</v>
      </c>
      <c r="C179" s="7" t="s">
        <v>42</v>
      </c>
      <c r="D179" s="7" t="s">
        <v>56</v>
      </c>
      <c r="E179" s="7">
        <v>10</v>
      </c>
      <c r="F179" s="8">
        <v>110</v>
      </c>
      <c r="G179" s="8">
        <v>1100</v>
      </c>
    </row>
    <row r="180" spans="1:7" x14ac:dyDescent="0.25">
      <c r="A180" s="7" t="s">
        <v>367</v>
      </c>
      <c r="B180" s="7" t="s">
        <v>279</v>
      </c>
      <c r="C180" s="7" t="s">
        <v>9</v>
      </c>
      <c r="D180" s="7" t="s">
        <v>45</v>
      </c>
      <c r="E180" s="7">
        <v>1</v>
      </c>
      <c r="F180" s="8">
        <v>12</v>
      </c>
      <c r="G180" s="8">
        <v>12</v>
      </c>
    </row>
    <row r="181" spans="1:7" x14ac:dyDescent="0.25">
      <c r="A181" s="7" t="s">
        <v>368</v>
      </c>
      <c r="B181" s="7" t="s">
        <v>369</v>
      </c>
      <c r="C181" s="7" t="s">
        <v>9</v>
      </c>
      <c r="D181" s="7" t="s">
        <v>29</v>
      </c>
      <c r="E181" s="7">
        <v>3</v>
      </c>
      <c r="F181" s="8">
        <v>95</v>
      </c>
      <c r="G181" s="8">
        <v>285</v>
      </c>
    </row>
    <row r="182" spans="1:7" x14ac:dyDescent="0.25">
      <c r="A182" s="7" t="s">
        <v>370</v>
      </c>
      <c r="B182" s="7" t="s">
        <v>261</v>
      </c>
      <c r="C182" s="7" t="s">
        <v>23</v>
      </c>
      <c r="D182" s="7" t="s">
        <v>32</v>
      </c>
      <c r="E182" s="7">
        <v>1</v>
      </c>
      <c r="F182" s="8">
        <v>15</v>
      </c>
      <c r="G182" s="8">
        <v>15</v>
      </c>
    </row>
    <row r="183" spans="1:7" x14ac:dyDescent="0.25">
      <c r="A183" s="7" t="s">
        <v>371</v>
      </c>
      <c r="B183" s="7" t="s">
        <v>372</v>
      </c>
      <c r="C183" s="7" t="s">
        <v>9</v>
      </c>
      <c r="D183" s="7" t="s">
        <v>56</v>
      </c>
      <c r="E183" s="7">
        <v>10</v>
      </c>
      <c r="F183" s="8">
        <v>110</v>
      </c>
      <c r="G183" s="8">
        <v>1100</v>
      </c>
    </row>
    <row r="184" spans="1:7" x14ac:dyDescent="0.25">
      <c r="A184" s="7" t="s">
        <v>373</v>
      </c>
      <c r="B184" s="7" t="s">
        <v>374</v>
      </c>
      <c r="C184" s="7" t="s">
        <v>9</v>
      </c>
      <c r="D184" s="7" t="s">
        <v>96</v>
      </c>
      <c r="E184" s="7">
        <v>7</v>
      </c>
      <c r="F184" s="8">
        <v>30</v>
      </c>
      <c r="G184" s="8">
        <v>210</v>
      </c>
    </row>
    <row r="185" spans="1:7" x14ac:dyDescent="0.25">
      <c r="A185" s="7" t="s">
        <v>375</v>
      </c>
      <c r="B185" s="7" t="s">
        <v>376</v>
      </c>
      <c r="C185" s="7" t="s">
        <v>13</v>
      </c>
      <c r="D185" s="7" t="s">
        <v>56</v>
      </c>
      <c r="E185" s="7">
        <v>7</v>
      </c>
      <c r="F185" s="8">
        <v>110</v>
      </c>
      <c r="G185" s="8">
        <v>770</v>
      </c>
    </row>
    <row r="186" spans="1:7" x14ac:dyDescent="0.25">
      <c r="A186" s="7" t="s">
        <v>377</v>
      </c>
      <c r="B186" s="7" t="s">
        <v>378</v>
      </c>
      <c r="C186" s="7" t="s">
        <v>9</v>
      </c>
      <c r="D186" s="7" t="s">
        <v>45</v>
      </c>
      <c r="E186" s="7">
        <v>2</v>
      </c>
      <c r="F186" s="8">
        <v>12</v>
      </c>
      <c r="G186" s="8">
        <v>24</v>
      </c>
    </row>
    <row r="187" spans="1:7" x14ac:dyDescent="0.25">
      <c r="A187" s="7" t="s">
        <v>379</v>
      </c>
      <c r="B187" s="7" t="s">
        <v>380</v>
      </c>
      <c r="C187" s="7" t="s">
        <v>23</v>
      </c>
      <c r="D187" s="7" t="s">
        <v>32</v>
      </c>
      <c r="E187" s="7">
        <v>9</v>
      </c>
      <c r="F187" s="8">
        <v>15</v>
      </c>
      <c r="G187" s="8">
        <v>135</v>
      </c>
    </row>
    <row r="188" spans="1:7" x14ac:dyDescent="0.25">
      <c r="A188" s="7" t="s">
        <v>381</v>
      </c>
      <c r="B188" s="7" t="s">
        <v>382</v>
      </c>
      <c r="C188" s="7" t="s">
        <v>35</v>
      </c>
      <c r="D188" s="7" t="s">
        <v>96</v>
      </c>
      <c r="E188" s="7">
        <v>7</v>
      </c>
      <c r="F188" s="8">
        <v>30</v>
      </c>
      <c r="G188" s="8">
        <v>210</v>
      </c>
    </row>
    <row r="189" spans="1:7" x14ac:dyDescent="0.25">
      <c r="A189" s="7" t="s">
        <v>383</v>
      </c>
      <c r="B189" s="7" t="s">
        <v>384</v>
      </c>
      <c r="C189" s="7" t="s">
        <v>39</v>
      </c>
      <c r="D189" s="7" t="s">
        <v>61</v>
      </c>
      <c r="E189" s="7">
        <v>7</v>
      </c>
      <c r="F189" s="8">
        <v>45</v>
      </c>
      <c r="G189" s="8">
        <v>315</v>
      </c>
    </row>
    <row r="190" spans="1:7" x14ac:dyDescent="0.25">
      <c r="A190" s="7" t="s">
        <v>199</v>
      </c>
      <c r="B190" s="7" t="s">
        <v>200</v>
      </c>
      <c r="C190" s="7" t="s">
        <v>13</v>
      </c>
      <c r="D190" s="7" t="s">
        <v>26</v>
      </c>
      <c r="E190" s="7">
        <v>5</v>
      </c>
      <c r="F190" s="8">
        <v>85</v>
      </c>
      <c r="G190" s="8">
        <v>425</v>
      </c>
    </row>
    <row r="191" spans="1:7" x14ac:dyDescent="0.25">
      <c r="A191" s="7" t="s">
        <v>385</v>
      </c>
      <c r="B191" s="7" t="s">
        <v>386</v>
      </c>
      <c r="C191" s="7" t="s">
        <v>13</v>
      </c>
      <c r="D191" s="7" t="s">
        <v>56</v>
      </c>
      <c r="E191" s="7">
        <v>4</v>
      </c>
      <c r="F191" s="8">
        <v>110</v>
      </c>
      <c r="G191" s="8">
        <v>440</v>
      </c>
    </row>
    <row r="192" spans="1:7" x14ac:dyDescent="0.25">
      <c r="A192" s="7" t="s">
        <v>387</v>
      </c>
      <c r="B192" s="7" t="s">
        <v>388</v>
      </c>
      <c r="C192" s="7" t="s">
        <v>39</v>
      </c>
      <c r="D192" s="7" t="s">
        <v>20</v>
      </c>
      <c r="E192" s="7">
        <v>2</v>
      </c>
      <c r="F192" s="8">
        <v>65</v>
      </c>
      <c r="G192" s="8">
        <v>130</v>
      </c>
    </row>
    <row r="193" spans="1:7" x14ac:dyDescent="0.25">
      <c r="A193" s="7" t="s">
        <v>389</v>
      </c>
      <c r="B193" s="7" t="s">
        <v>390</v>
      </c>
      <c r="C193" s="7" t="s">
        <v>35</v>
      </c>
      <c r="D193" s="7" t="s">
        <v>96</v>
      </c>
      <c r="E193" s="7">
        <v>7</v>
      </c>
      <c r="F193" s="8">
        <v>30</v>
      </c>
      <c r="G193" s="8">
        <v>210</v>
      </c>
    </row>
    <row r="194" spans="1:7" x14ac:dyDescent="0.25">
      <c r="A194" s="7" t="s">
        <v>391</v>
      </c>
      <c r="B194" s="7" t="s">
        <v>392</v>
      </c>
      <c r="C194" s="7" t="s">
        <v>39</v>
      </c>
      <c r="D194" s="7" t="s">
        <v>73</v>
      </c>
      <c r="E194" s="7">
        <v>8</v>
      </c>
      <c r="F194" s="8">
        <v>10</v>
      </c>
      <c r="G194" s="8">
        <v>80</v>
      </c>
    </row>
    <row r="195" spans="1:7" x14ac:dyDescent="0.25">
      <c r="A195" s="7" t="s">
        <v>393</v>
      </c>
      <c r="B195" s="7" t="s">
        <v>394</v>
      </c>
      <c r="C195" s="7" t="s">
        <v>39</v>
      </c>
      <c r="D195" s="7" t="s">
        <v>32</v>
      </c>
      <c r="E195" s="7">
        <v>2</v>
      </c>
      <c r="F195" s="8">
        <v>15</v>
      </c>
      <c r="G195" s="8">
        <v>30</v>
      </c>
    </row>
    <row r="196" spans="1:7" x14ac:dyDescent="0.25">
      <c r="A196" s="7" t="s">
        <v>395</v>
      </c>
      <c r="B196" s="7" t="s">
        <v>396</v>
      </c>
      <c r="C196" s="7" t="s">
        <v>35</v>
      </c>
      <c r="D196" s="7" t="s">
        <v>32</v>
      </c>
      <c r="E196" s="7">
        <v>10</v>
      </c>
      <c r="F196" s="8">
        <v>15</v>
      </c>
      <c r="G196" s="8">
        <v>150</v>
      </c>
    </row>
    <row r="197" spans="1:7" x14ac:dyDescent="0.25">
      <c r="A197" s="7" t="s">
        <v>397</v>
      </c>
      <c r="B197" s="7" t="s">
        <v>253</v>
      </c>
      <c r="C197" s="7" t="s">
        <v>35</v>
      </c>
      <c r="D197" s="7" t="s">
        <v>61</v>
      </c>
      <c r="E197" s="7">
        <v>2</v>
      </c>
      <c r="F197" s="8">
        <v>45</v>
      </c>
      <c r="G197" s="8">
        <v>90</v>
      </c>
    </row>
    <row r="198" spans="1:7" x14ac:dyDescent="0.25">
      <c r="A198" s="7" t="s">
        <v>398</v>
      </c>
      <c r="B198" s="7" t="s">
        <v>399</v>
      </c>
      <c r="C198" s="7" t="s">
        <v>39</v>
      </c>
      <c r="D198" s="7" t="s">
        <v>61</v>
      </c>
      <c r="E198" s="7">
        <v>5</v>
      </c>
      <c r="F198" s="8">
        <v>45</v>
      </c>
      <c r="G198" s="8">
        <v>225</v>
      </c>
    </row>
    <row r="199" spans="1:7" x14ac:dyDescent="0.25">
      <c r="A199" s="7" t="s">
        <v>400</v>
      </c>
      <c r="B199" s="7" t="s">
        <v>401</v>
      </c>
      <c r="C199" s="7" t="s">
        <v>35</v>
      </c>
      <c r="D199" s="7" t="s">
        <v>79</v>
      </c>
      <c r="E199" s="7">
        <v>1</v>
      </c>
      <c r="F199" s="8">
        <v>28</v>
      </c>
      <c r="G199" s="8">
        <v>28</v>
      </c>
    </row>
    <row r="200" spans="1:7" x14ac:dyDescent="0.25">
      <c r="A200" s="7" t="s">
        <v>402</v>
      </c>
      <c r="B200" s="7" t="s">
        <v>275</v>
      </c>
      <c r="C200" s="7" t="s">
        <v>42</v>
      </c>
      <c r="D200" s="7" t="s">
        <v>32</v>
      </c>
      <c r="E200" s="7">
        <v>9</v>
      </c>
      <c r="F200" s="8">
        <v>15</v>
      </c>
      <c r="G200" s="8">
        <v>135</v>
      </c>
    </row>
    <row r="201" spans="1:7" x14ac:dyDescent="0.25">
      <c r="A201" s="7" t="s">
        <v>403</v>
      </c>
      <c r="B201" s="7" t="s">
        <v>404</v>
      </c>
      <c r="C201" s="7" t="s">
        <v>13</v>
      </c>
      <c r="D201" s="7" t="s">
        <v>96</v>
      </c>
      <c r="E201" s="7">
        <v>5</v>
      </c>
      <c r="F201" s="8">
        <v>30</v>
      </c>
      <c r="G201" s="8">
        <v>150</v>
      </c>
    </row>
    <row r="202" spans="1:7" x14ac:dyDescent="0.25">
      <c r="A202" s="7" t="s">
        <v>405</v>
      </c>
      <c r="B202" s="7" t="s">
        <v>406</v>
      </c>
      <c r="C202" s="7" t="s">
        <v>42</v>
      </c>
      <c r="D202" s="7" t="s">
        <v>79</v>
      </c>
      <c r="E202" s="7">
        <v>8</v>
      </c>
      <c r="F202" s="8">
        <v>28</v>
      </c>
      <c r="G202" s="8">
        <v>224</v>
      </c>
    </row>
    <row r="203" spans="1:7" x14ac:dyDescent="0.25">
      <c r="A203" s="7" t="s">
        <v>407</v>
      </c>
      <c r="B203" s="7" t="s">
        <v>408</v>
      </c>
      <c r="C203" s="7" t="s">
        <v>39</v>
      </c>
      <c r="D203" s="7" t="s">
        <v>56</v>
      </c>
      <c r="E203" s="7">
        <v>4</v>
      </c>
      <c r="F203" s="8">
        <v>110</v>
      </c>
      <c r="G203" s="8">
        <v>440</v>
      </c>
    </row>
    <row r="204" spans="1:7" x14ac:dyDescent="0.25">
      <c r="A204" s="7" t="s">
        <v>409</v>
      </c>
      <c r="B204" s="7" t="s">
        <v>410</v>
      </c>
      <c r="C204" s="7" t="s">
        <v>9</v>
      </c>
      <c r="D204" s="7" t="s">
        <v>79</v>
      </c>
      <c r="E204" s="7">
        <v>10</v>
      </c>
      <c r="F204" s="8">
        <v>28</v>
      </c>
      <c r="G204" s="8">
        <v>280</v>
      </c>
    </row>
    <row r="205" spans="1:7" x14ac:dyDescent="0.25">
      <c r="A205" s="7" t="s">
        <v>411</v>
      </c>
      <c r="B205" s="7" t="s">
        <v>68</v>
      </c>
      <c r="C205" s="7" t="s">
        <v>13</v>
      </c>
      <c r="D205" s="7" t="s">
        <v>61</v>
      </c>
      <c r="E205" s="7">
        <v>3</v>
      </c>
      <c r="F205" s="8">
        <v>45</v>
      </c>
      <c r="G205" s="8">
        <v>135</v>
      </c>
    </row>
    <row r="206" spans="1:7" x14ac:dyDescent="0.25">
      <c r="A206" s="7" t="s">
        <v>412</v>
      </c>
      <c r="B206" s="7" t="s">
        <v>413</v>
      </c>
      <c r="C206" s="7" t="s">
        <v>35</v>
      </c>
      <c r="D206" s="7" t="s">
        <v>96</v>
      </c>
      <c r="E206" s="7">
        <v>9</v>
      </c>
      <c r="F206" s="8">
        <v>30</v>
      </c>
      <c r="G206" s="8">
        <v>270</v>
      </c>
    </row>
    <row r="207" spans="1:7" x14ac:dyDescent="0.25">
      <c r="A207" s="7" t="s">
        <v>414</v>
      </c>
      <c r="B207" s="7" t="s">
        <v>415</v>
      </c>
      <c r="C207" s="7" t="s">
        <v>13</v>
      </c>
      <c r="D207" s="7" t="s">
        <v>32</v>
      </c>
      <c r="E207" s="7">
        <v>5</v>
      </c>
      <c r="F207" s="8">
        <v>15</v>
      </c>
      <c r="G207" s="8">
        <v>75</v>
      </c>
    </row>
    <row r="208" spans="1:7" x14ac:dyDescent="0.25">
      <c r="A208" s="7" t="s">
        <v>416</v>
      </c>
      <c r="B208" s="7" t="s">
        <v>396</v>
      </c>
      <c r="C208" s="7" t="s">
        <v>35</v>
      </c>
      <c r="D208" s="7" t="s">
        <v>32</v>
      </c>
      <c r="E208" s="7">
        <v>5</v>
      </c>
      <c r="F208" s="8">
        <v>15</v>
      </c>
      <c r="G208" s="8">
        <v>75</v>
      </c>
    </row>
    <row r="209" spans="1:7" x14ac:dyDescent="0.25">
      <c r="A209" s="7" t="s">
        <v>417</v>
      </c>
      <c r="B209" s="7" t="s">
        <v>418</v>
      </c>
      <c r="C209" s="7" t="s">
        <v>23</v>
      </c>
      <c r="D209" s="7" t="s">
        <v>10</v>
      </c>
      <c r="E209" s="7">
        <v>1</v>
      </c>
      <c r="F209" s="8">
        <v>22</v>
      </c>
      <c r="G209" s="8">
        <v>22</v>
      </c>
    </row>
    <row r="210" spans="1:7" x14ac:dyDescent="0.25">
      <c r="A210" s="7" t="s">
        <v>419</v>
      </c>
      <c r="B210" s="7" t="s">
        <v>420</v>
      </c>
      <c r="C210" s="7" t="s">
        <v>42</v>
      </c>
      <c r="D210" s="7" t="s">
        <v>10</v>
      </c>
      <c r="E210" s="7">
        <v>7</v>
      </c>
      <c r="F210" s="8">
        <v>22</v>
      </c>
      <c r="G210" s="8">
        <v>154</v>
      </c>
    </row>
    <row r="211" spans="1:7" x14ac:dyDescent="0.25">
      <c r="A211" s="7" t="s">
        <v>421</v>
      </c>
      <c r="B211" s="7" t="s">
        <v>422</v>
      </c>
      <c r="C211" s="7" t="s">
        <v>9</v>
      </c>
      <c r="D211" s="7" t="s">
        <v>36</v>
      </c>
      <c r="E211" s="7">
        <v>10</v>
      </c>
      <c r="F211" s="8">
        <v>18</v>
      </c>
      <c r="G211" s="8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6"/>
  <sheetViews>
    <sheetView tabSelected="1" zoomScaleNormal="100" workbookViewId="0">
      <selection activeCell="D30" sqref="D30"/>
    </sheetView>
  </sheetViews>
  <sheetFormatPr defaultColWidth="8.7109375" defaultRowHeight="15" x14ac:dyDescent="0.25"/>
  <cols>
    <col min="1" max="1" width="28" customWidth="1"/>
    <col min="2" max="3" width="20" customWidth="1"/>
    <col min="4" max="4" width="5" customWidth="1"/>
    <col min="6" max="6" width="15.85546875" customWidth="1"/>
    <col min="7" max="7" width="17.42578125" customWidth="1"/>
  </cols>
  <sheetData>
    <row r="1" spans="1:7" ht="24" customHeight="1" x14ac:dyDescent="0.25">
      <c r="A1" s="5" t="s">
        <v>423</v>
      </c>
      <c r="B1" s="5"/>
      <c r="C1" s="5"/>
      <c r="F1" t="s">
        <v>424</v>
      </c>
      <c r="G1" t="s">
        <v>425</v>
      </c>
    </row>
    <row r="2" spans="1:7" x14ac:dyDescent="0.25">
      <c r="F2">
        <v>88</v>
      </c>
      <c r="G2">
        <v>4</v>
      </c>
    </row>
    <row r="3" spans="1:7" x14ac:dyDescent="0.25">
      <c r="A3" s="4" t="s">
        <v>426</v>
      </c>
      <c r="B3" s="4"/>
      <c r="C3" s="4"/>
      <c r="F3">
        <v>2750</v>
      </c>
      <c r="G3">
        <v>10</v>
      </c>
    </row>
    <row r="4" spans="1:7" x14ac:dyDescent="0.25">
      <c r="A4" s="9" t="s">
        <v>427</v>
      </c>
      <c r="B4" s="9" t="s">
        <v>428</v>
      </c>
      <c r="C4" s="9" t="s">
        <v>4</v>
      </c>
      <c r="F4">
        <v>20</v>
      </c>
      <c r="G4">
        <v>1</v>
      </c>
    </row>
    <row r="5" spans="1:7" x14ac:dyDescent="0.25">
      <c r="A5" s="10" t="s">
        <v>429</v>
      </c>
      <c r="B5" s="8">
        <f>AVERAGE(F2:F206)</f>
        <v>276.62439024390244</v>
      </c>
      <c r="C5" s="8">
        <f>AVERAGE(G2:G206)</f>
        <v>5.4390243902439028</v>
      </c>
      <c r="F5">
        <v>130</v>
      </c>
      <c r="G5">
        <v>2</v>
      </c>
    </row>
    <row r="6" spans="1:7" x14ac:dyDescent="0.25">
      <c r="A6" s="10" t="s">
        <v>430</v>
      </c>
      <c r="B6" s="8">
        <f>MEDIAN(F2:F206)</f>
        <v>150</v>
      </c>
      <c r="C6" s="8">
        <f>MEDIAN(G2:G206)</f>
        <v>5</v>
      </c>
      <c r="F6">
        <v>180</v>
      </c>
      <c r="G6">
        <v>9</v>
      </c>
    </row>
    <row r="7" spans="1:7" x14ac:dyDescent="0.25">
      <c r="A7" s="10" t="s">
        <v>431</v>
      </c>
      <c r="B7" s="8">
        <f>MODE(F2:F206)</f>
        <v>75</v>
      </c>
      <c r="C7" s="8">
        <f>MODE(G2:G206)</f>
        <v>5</v>
      </c>
      <c r="F7">
        <v>850</v>
      </c>
      <c r="G7">
        <v>10</v>
      </c>
    </row>
    <row r="8" spans="1:7" x14ac:dyDescent="0.25">
      <c r="F8">
        <v>95</v>
      </c>
      <c r="G8">
        <v>1</v>
      </c>
    </row>
    <row r="9" spans="1:7" x14ac:dyDescent="0.25">
      <c r="A9" s="4" t="s">
        <v>432</v>
      </c>
      <c r="B9" s="4"/>
      <c r="C9" s="4"/>
      <c r="F9">
        <v>30</v>
      </c>
      <c r="G9">
        <v>2</v>
      </c>
    </row>
    <row r="10" spans="1:7" x14ac:dyDescent="0.25">
      <c r="A10" s="9" t="s">
        <v>427</v>
      </c>
      <c r="B10" s="3" t="s">
        <v>433</v>
      </c>
      <c r="C10" s="3"/>
      <c r="F10">
        <v>108</v>
      </c>
      <c r="G10">
        <v>6</v>
      </c>
    </row>
    <row r="11" spans="1:7" x14ac:dyDescent="0.25">
      <c r="A11" s="10" t="s">
        <v>454</v>
      </c>
      <c r="B11" s="2">
        <f>MAX(F2:F206)-MIN(F2:F206)</f>
        <v>2740</v>
      </c>
      <c r="C11" s="2"/>
      <c r="F11">
        <v>160</v>
      </c>
      <c r="G11">
        <v>8</v>
      </c>
    </row>
    <row r="12" spans="1:7" x14ac:dyDescent="0.25">
      <c r="A12" s="10" t="s">
        <v>434</v>
      </c>
      <c r="B12" s="2">
        <f>VAR(F2:F206)</f>
        <v>168102.49057867049</v>
      </c>
      <c r="C12" s="2"/>
      <c r="F12">
        <v>120</v>
      </c>
      <c r="G12">
        <v>8</v>
      </c>
    </row>
    <row r="13" spans="1:7" x14ac:dyDescent="0.25">
      <c r="A13" s="10" t="s">
        <v>435</v>
      </c>
      <c r="B13" s="2">
        <f>STDEV(F2:F206)</f>
        <v>410.00303727981151</v>
      </c>
      <c r="C13" s="2"/>
      <c r="F13">
        <v>48</v>
      </c>
      <c r="G13">
        <v>4</v>
      </c>
    </row>
    <row r="14" spans="1:7" x14ac:dyDescent="0.25">
      <c r="A14" s="10" t="s">
        <v>436</v>
      </c>
      <c r="B14" s="2">
        <f>QUARTILE(F2:F206,1)</f>
        <v>75</v>
      </c>
      <c r="C14" s="2"/>
      <c r="F14">
        <v>195</v>
      </c>
      <c r="G14">
        <v>3</v>
      </c>
    </row>
    <row r="15" spans="1:7" x14ac:dyDescent="0.25">
      <c r="A15" s="10" t="s">
        <v>437</v>
      </c>
      <c r="B15" s="2">
        <f>QUARTILE(F2:F206,2)</f>
        <v>150</v>
      </c>
      <c r="C15" s="2"/>
      <c r="F15">
        <v>88</v>
      </c>
      <c r="G15">
        <v>4</v>
      </c>
    </row>
    <row r="16" spans="1:7" x14ac:dyDescent="0.25">
      <c r="A16" s="10" t="s">
        <v>438</v>
      </c>
      <c r="B16" s="2">
        <f>QUARTILE(F2:F206,3)</f>
        <v>280</v>
      </c>
      <c r="C16" s="2"/>
      <c r="F16">
        <v>36</v>
      </c>
      <c r="G16">
        <v>2</v>
      </c>
    </row>
    <row r="17" spans="1:7" x14ac:dyDescent="0.25">
      <c r="F17">
        <v>162</v>
      </c>
      <c r="G17">
        <v>9</v>
      </c>
    </row>
    <row r="18" spans="1:7" x14ac:dyDescent="0.25">
      <c r="A18" s="4" t="s">
        <v>439</v>
      </c>
      <c r="B18" s="4"/>
      <c r="C18" s="4"/>
      <c r="F18">
        <v>990</v>
      </c>
      <c r="G18">
        <v>9</v>
      </c>
    </row>
    <row r="19" spans="1:7" ht="18" customHeight="1" x14ac:dyDescent="0.25">
      <c r="A19" s="1" t="s">
        <v>440</v>
      </c>
      <c r="B19" s="1"/>
      <c r="C19" s="1"/>
      <c r="F19">
        <v>455</v>
      </c>
      <c r="G19">
        <v>7</v>
      </c>
    </row>
    <row r="20" spans="1:7" ht="18" customHeight="1" x14ac:dyDescent="0.25">
      <c r="A20" s="1"/>
      <c r="B20" s="1"/>
      <c r="C20" s="1"/>
      <c r="F20">
        <v>270</v>
      </c>
      <c r="G20">
        <v>6</v>
      </c>
    </row>
    <row r="21" spans="1:7" ht="18" customHeight="1" x14ac:dyDescent="0.25">
      <c r="A21" s="1"/>
      <c r="B21" s="1"/>
      <c r="C21" s="1"/>
      <c r="F21">
        <v>100</v>
      </c>
      <c r="G21">
        <v>10</v>
      </c>
    </row>
    <row r="22" spans="1:7" ht="18" customHeight="1" x14ac:dyDescent="0.25">
      <c r="A22" s="1"/>
      <c r="B22" s="1"/>
      <c r="C22" s="1"/>
      <c r="F22">
        <v>190</v>
      </c>
      <c r="G22">
        <v>2</v>
      </c>
    </row>
    <row r="23" spans="1:7" ht="18" customHeight="1" x14ac:dyDescent="0.25">
      <c r="A23" s="1"/>
      <c r="B23" s="1"/>
      <c r="C23" s="1"/>
      <c r="F23">
        <v>190</v>
      </c>
      <c r="G23">
        <v>2</v>
      </c>
    </row>
    <row r="24" spans="1:7" x14ac:dyDescent="0.25">
      <c r="F24">
        <v>45</v>
      </c>
      <c r="G24">
        <v>3</v>
      </c>
    </row>
    <row r="25" spans="1:7" x14ac:dyDescent="0.25">
      <c r="F25">
        <v>50</v>
      </c>
      <c r="G25">
        <v>5</v>
      </c>
    </row>
    <row r="26" spans="1:7" x14ac:dyDescent="0.25">
      <c r="F26">
        <v>75</v>
      </c>
      <c r="G26">
        <v>5</v>
      </c>
    </row>
    <row r="27" spans="1:7" x14ac:dyDescent="0.25">
      <c r="F27">
        <v>168</v>
      </c>
      <c r="G27">
        <v>6</v>
      </c>
    </row>
    <row r="28" spans="1:7" x14ac:dyDescent="0.25">
      <c r="F28">
        <v>220</v>
      </c>
      <c r="G28">
        <v>2</v>
      </c>
    </row>
    <row r="29" spans="1:7" x14ac:dyDescent="0.25">
      <c r="F29">
        <v>650</v>
      </c>
      <c r="G29">
        <v>10</v>
      </c>
    </row>
    <row r="30" spans="1:7" x14ac:dyDescent="0.25">
      <c r="F30">
        <v>56</v>
      </c>
      <c r="G30">
        <v>2</v>
      </c>
    </row>
    <row r="31" spans="1:7" x14ac:dyDescent="0.25">
      <c r="F31">
        <v>72</v>
      </c>
      <c r="G31">
        <v>4</v>
      </c>
    </row>
    <row r="32" spans="1:7" x14ac:dyDescent="0.25">
      <c r="F32">
        <v>120</v>
      </c>
      <c r="G32">
        <v>10</v>
      </c>
    </row>
    <row r="33" spans="6:7" x14ac:dyDescent="0.25">
      <c r="F33">
        <v>96</v>
      </c>
      <c r="G33">
        <v>8</v>
      </c>
    </row>
    <row r="34" spans="6:7" x14ac:dyDescent="0.25">
      <c r="F34">
        <v>15</v>
      </c>
      <c r="G34">
        <v>1</v>
      </c>
    </row>
    <row r="35" spans="6:7" x14ac:dyDescent="0.25">
      <c r="F35">
        <v>180</v>
      </c>
      <c r="G35">
        <v>6</v>
      </c>
    </row>
    <row r="36" spans="6:7" x14ac:dyDescent="0.25">
      <c r="F36">
        <v>2750</v>
      </c>
      <c r="G36">
        <v>10</v>
      </c>
    </row>
    <row r="37" spans="6:7" x14ac:dyDescent="0.25">
      <c r="F37">
        <v>570</v>
      </c>
      <c r="G37">
        <v>6</v>
      </c>
    </row>
    <row r="38" spans="6:7" x14ac:dyDescent="0.25">
      <c r="F38">
        <v>45</v>
      </c>
      <c r="G38">
        <v>1</v>
      </c>
    </row>
    <row r="39" spans="6:7" x14ac:dyDescent="0.25">
      <c r="F39">
        <v>18</v>
      </c>
      <c r="G39">
        <v>1</v>
      </c>
    </row>
    <row r="40" spans="6:7" x14ac:dyDescent="0.25">
      <c r="F40">
        <v>475</v>
      </c>
      <c r="G40">
        <v>5</v>
      </c>
    </row>
    <row r="41" spans="6:7" x14ac:dyDescent="0.25">
      <c r="F41">
        <v>765</v>
      </c>
      <c r="G41">
        <v>9</v>
      </c>
    </row>
    <row r="42" spans="6:7" x14ac:dyDescent="0.25">
      <c r="F42">
        <v>30</v>
      </c>
      <c r="G42">
        <v>2</v>
      </c>
    </row>
    <row r="43" spans="6:7" x14ac:dyDescent="0.25">
      <c r="F43">
        <v>70</v>
      </c>
      <c r="G43">
        <v>7</v>
      </c>
    </row>
    <row r="44" spans="6:7" x14ac:dyDescent="0.25">
      <c r="F44">
        <v>280</v>
      </c>
      <c r="G44">
        <v>10</v>
      </c>
    </row>
    <row r="45" spans="6:7" x14ac:dyDescent="0.25">
      <c r="F45">
        <v>680</v>
      </c>
      <c r="G45">
        <v>8</v>
      </c>
    </row>
    <row r="46" spans="6:7" x14ac:dyDescent="0.25">
      <c r="F46">
        <v>196</v>
      </c>
      <c r="G46">
        <v>7</v>
      </c>
    </row>
    <row r="47" spans="6:7" x14ac:dyDescent="0.25">
      <c r="F47">
        <v>60</v>
      </c>
      <c r="G47">
        <v>5</v>
      </c>
    </row>
    <row r="48" spans="6:7" x14ac:dyDescent="0.25">
      <c r="F48">
        <v>80</v>
      </c>
      <c r="G48">
        <v>8</v>
      </c>
    </row>
    <row r="49" spans="6:7" x14ac:dyDescent="0.25">
      <c r="F49">
        <v>110</v>
      </c>
      <c r="G49">
        <v>5</v>
      </c>
    </row>
    <row r="50" spans="6:7" x14ac:dyDescent="0.25">
      <c r="F50">
        <v>40</v>
      </c>
      <c r="G50">
        <v>4</v>
      </c>
    </row>
    <row r="51" spans="6:7" x14ac:dyDescent="0.25">
      <c r="F51">
        <v>285</v>
      </c>
      <c r="G51">
        <v>3</v>
      </c>
    </row>
    <row r="52" spans="6:7" x14ac:dyDescent="0.25">
      <c r="F52">
        <v>112</v>
      </c>
      <c r="G52">
        <v>4</v>
      </c>
    </row>
    <row r="53" spans="6:7" x14ac:dyDescent="0.25">
      <c r="F53">
        <v>210</v>
      </c>
      <c r="G53">
        <v>7</v>
      </c>
    </row>
    <row r="54" spans="6:7" x14ac:dyDescent="0.25">
      <c r="F54">
        <v>45</v>
      </c>
      <c r="G54">
        <v>3</v>
      </c>
    </row>
    <row r="55" spans="6:7" x14ac:dyDescent="0.25">
      <c r="F55">
        <v>100</v>
      </c>
      <c r="G55">
        <v>10</v>
      </c>
    </row>
    <row r="56" spans="6:7" x14ac:dyDescent="0.25">
      <c r="F56">
        <v>220</v>
      </c>
      <c r="G56">
        <v>2</v>
      </c>
    </row>
    <row r="57" spans="6:7" x14ac:dyDescent="0.25">
      <c r="F57">
        <v>765</v>
      </c>
      <c r="G57">
        <v>9</v>
      </c>
    </row>
    <row r="58" spans="6:7" x14ac:dyDescent="0.25">
      <c r="F58">
        <v>30</v>
      </c>
      <c r="G58">
        <v>3</v>
      </c>
    </row>
    <row r="59" spans="6:7" x14ac:dyDescent="0.25">
      <c r="F59">
        <v>24</v>
      </c>
      <c r="G59">
        <v>2</v>
      </c>
    </row>
    <row r="60" spans="6:7" x14ac:dyDescent="0.25">
      <c r="F60">
        <v>150</v>
      </c>
      <c r="G60">
        <v>10</v>
      </c>
    </row>
    <row r="61" spans="6:7" x14ac:dyDescent="0.25">
      <c r="F61">
        <v>285</v>
      </c>
      <c r="G61">
        <v>3</v>
      </c>
    </row>
    <row r="62" spans="6:7" x14ac:dyDescent="0.25">
      <c r="F62">
        <v>108</v>
      </c>
      <c r="G62">
        <v>9</v>
      </c>
    </row>
    <row r="63" spans="6:7" x14ac:dyDescent="0.25">
      <c r="F63">
        <v>140</v>
      </c>
      <c r="G63">
        <v>5</v>
      </c>
    </row>
    <row r="64" spans="6:7" x14ac:dyDescent="0.25">
      <c r="F64">
        <v>275</v>
      </c>
      <c r="G64">
        <v>1</v>
      </c>
    </row>
    <row r="65" spans="6:7" x14ac:dyDescent="0.25">
      <c r="F65">
        <v>154</v>
      </c>
      <c r="G65">
        <v>7</v>
      </c>
    </row>
    <row r="66" spans="6:7" x14ac:dyDescent="0.25">
      <c r="F66">
        <v>15</v>
      </c>
      <c r="G66">
        <v>1</v>
      </c>
    </row>
    <row r="67" spans="6:7" x14ac:dyDescent="0.25">
      <c r="F67">
        <v>770</v>
      </c>
      <c r="G67">
        <v>7</v>
      </c>
    </row>
    <row r="68" spans="6:7" x14ac:dyDescent="0.25">
      <c r="F68">
        <v>75</v>
      </c>
      <c r="G68">
        <v>5</v>
      </c>
    </row>
    <row r="69" spans="6:7" x14ac:dyDescent="0.25">
      <c r="F69">
        <v>225</v>
      </c>
      <c r="G69">
        <v>5</v>
      </c>
    </row>
    <row r="70" spans="6:7" x14ac:dyDescent="0.25">
      <c r="F70">
        <v>440</v>
      </c>
      <c r="G70">
        <v>4</v>
      </c>
    </row>
    <row r="71" spans="6:7" x14ac:dyDescent="0.25">
      <c r="F71">
        <v>90</v>
      </c>
      <c r="G71">
        <v>6</v>
      </c>
    </row>
    <row r="72" spans="6:7" x14ac:dyDescent="0.25">
      <c r="F72">
        <v>510</v>
      </c>
      <c r="G72">
        <v>6</v>
      </c>
    </row>
    <row r="73" spans="6:7" x14ac:dyDescent="0.25">
      <c r="F73">
        <v>270</v>
      </c>
      <c r="G73">
        <v>9</v>
      </c>
    </row>
    <row r="74" spans="6:7" x14ac:dyDescent="0.25">
      <c r="F74">
        <v>18</v>
      </c>
      <c r="G74">
        <v>1</v>
      </c>
    </row>
    <row r="75" spans="6:7" x14ac:dyDescent="0.25">
      <c r="F75">
        <v>220</v>
      </c>
      <c r="G75">
        <v>2</v>
      </c>
    </row>
    <row r="76" spans="6:7" x14ac:dyDescent="0.25">
      <c r="F76">
        <v>275</v>
      </c>
      <c r="G76">
        <v>1</v>
      </c>
    </row>
    <row r="77" spans="6:7" x14ac:dyDescent="0.25">
      <c r="F77">
        <v>225</v>
      </c>
      <c r="G77">
        <v>5</v>
      </c>
    </row>
    <row r="78" spans="6:7" x14ac:dyDescent="0.25">
      <c r="F78">
        <v>24</v>
      </c>
      <c r="G78">
        <v>2</v>
      </c>
    </row>
    <row r="79" spans="6:7" x14ac:dyDescent="0.25">
      <c r="F79">
        <v>224</v>
      </c>
      <c r="G79">
        <v>8</v>
      </c>
    </row>
    <row r="80" spans="6:7" x14ac:dyDescent="0.25">
      <c r="F80">
        <v>450</v>
      </c>
      <c r="G80">
        <v>10</v>
      </c>
    </row>
    <row r="81" spans="6:7" x14ac:dyDescent="0.25">
      <c r="F81">
        <v>90</v>
      </c>
      <c r="G81">
        <v>5</v>
      </c>
    </row>
    <row r="82" spans="6:7" x14ac:dyDescent="0.25">
      <c r="F82">
        <v>275</v>
      </c>
      <c r="G82">
        <v>1</v>
      </c>
    </row>
    <row r="83" spans="6:7" x14ac:dyDescent="0.25">
      <c r="F83">
        <v>990</v>
      </c>
      <c r="G83">
        <v>9</v>
      </c>
    </row>
    <row r="84" spans="6:7" x14ac:dyDescent="0.25">
      <c r="F84">
        <v>90</v>
      </c>
      <c r="G84">
        <v>3</v>
      </c>
    </row>
    <row r="85" spans="6:7" x14ac:dyDescent="0.25">
      <c r="F85">
        <v>225</v>
      </c>
      <c r="G85">
        <v>5</v>
      </c>
    </row>
    <row r="86" spans="6:7" x14ac:dyDescent="0.25">
      <c r="F86">
        <v>56</v>
      </c>
      <c r="G86">
        <v>2</v>
      </c>
    </row>
    <row r="87" spans="6:7" x14ac:dyDescent="0.25">
      <c r="F87">
        <v>10</v>
      </c>
      <c r="G87">
        <v>1</v>
      </c>
    </row>
    <row r="88" spans="6:7" x14ac:dyDescent="0.25">
      <c r="F88">
        <v>825</v>
      </c>
      <c r="G88">
        <v>3</v>
      </c>
    </row>
    <row r="89" spans="6:7" x14ac:dyDescent="0.25">
      <c r="F89">
        <v>275</v>
      </c>
      <c r="G89">
        <v>1</v>
      </c>
    </row>
    <row r="90" spans="6:7" x14ac:dyDescent="0.25">
      <c r="F90">
        <v>425</v>
      </c>
      <c r="G90">
        <v>5</v>
      </c>
    </row>
    <row r="91" spans="6:7" x14ac:dyDescent="0.25">
      <c r="F91">
        <v>112</v>
      </c>
      <c r="G91">
        <v>4</v>
      </c>
    </row>
    <row r="92" spans="6:7" x14ac:dyDescent="0.25">
      <c r="F92">
        <v>340</v>
      </c>
      <c r="G92">
        <v>4</v>
      </c>
    </row>
    <row r="93" spans="6:7" x14ac:dyDescent="0.25">
      <c r="F93">
        <v>60</v>
      </c>
      <c r="G93">
        <v>4</v>
      </c>
    </row>
    <row r="94" spans="6:7" x14ac:dyDescent="0.25">
      <c r="F94">
        <v>455</v>
      </c>
      <c r="G94">
        <v>7</v>
      </c>
    </row>
    <row r="95" spans="6:7" x14ac:dyDescent="0.25">
      <c r="F95">
        <v>85</v>
      </c>
      <c r="G95">
        <v>1</v>
      </c>
    </row>
    <row r="96" spans="6:7" x14ac:dyDescent="0.25">
      <c r="F96">
        <v>770</v>
      </c>
      <c r="G96">
        <v>7</v>
      </c>
    </row>
    <row r="97" spans="6:7" x14ac:dyDescent="0.25">
      <c r="F97">
        <v>126</v>
      </c>
      <c r="G97">
        <v>7</v>
      </c>
    </row>
    <row r="98" spans="6:7" x14ac:dyDescent="0.25">
      <c r="F98">
        <v>75</v>
      </c>
      <c r="G98">
        <v>5</v>
      </c>
    </row>
    <row r="99" spans="6:7" x14ac:dyDescent="0.25">
      <c r="F99">
        <v>270</v>
      </c>
      <c r="G99">
        <v>9</v>
      </c>
    </row>
    <row r="100" spans="6:7" x14ac:dyDescent="0.25">
      <c r="F100">
        <v>20</v>
      </c>
      <c r="G100">
        <v>2</v>
      </c>
    </row>
    <row r="101" spans="6:7" x14ac:dyDescent="0.25">
      <c r="F101">
        <v>150</v>
      </c>
      <c r="G101">
        <v>10</v>
      </c>
    </row>
    <row r="102" spans="6:7" x14ac:dyDescent="0.25">
      <c r="F102">
        <v>380</v>
      </c>
      <c r="G102">
        <v>4</v>
      </c>
    </row>
    <row r="103" spans="6:7" x14ac:dyDescent="0.25">
      <c r="F103">
        <v>650</v>
      </c>
      <c r="G103">
        <v>10</v>
      </c>
    </row>
    <row r="104" spans="6:7" x14ac:dyDescent="0.25">
      <c r="F104">
        <v>60</v>
      </c>
      <c r="G104">
        <v>6</v>
      </c>
    </row>
    <row r="105" spans="6:7" x14ac:dyDescent="0.25">
      <c r="F105">
        <v>405</v>
      </c>
      <c r="G105">
        <v>9</v>
      </c>
    </row>
    <row r="106" spans="6:7" x14ac:dyDescent="0.25">
      <c r="F106">
        <v>18</v>
      </c>
      <c r="G106">
        <v>1</v>
      </c>
    </row>
    <row r="107" spans="6:7" x14ac:dyDescent="0.25">
      <c r="F107">
        <v>80</v>
      </c>
      <c r="G107">
        <v>4</v>
      </c>
    </row>
    <row r="108" spans="6:7" x14ac:dyDescent="0.25">
      <c r="F108">
        <v>585</v>
      </c>
      <c r="G108">
        <v>9</v>
      </c>
    </row>
    <row r="109" spans="6:7" x14ac:dyDescent="0.25">
      <c r="F109">
        <v>110</v>
      </c>
      <c r="G109">
        <v>5</v>
      </c>
    </row>
    <row r="110" spans="6:7" x14ac:dyDescent="0.25">
      <c r="F110">
        <v>585</v>
      </c>
      <c r="G110">
        <v>9</v>
      </c>
    </row>
    <row r="111" spans="6:7" x14ac:dyDescent="0.25">
      <c r="F111">
        <v>60</v>
      </c>
      <c r="G111">
        <v>6</v>
      </c>
    </row>
    <row r="112" spans="6:7" x14ac:dyDescent="0.25">
      <c r="F112">
        <v>36</v>
      </c>
      <c r="G112">
        <v>3</v>
      </c>
    </row>
    <row r="113" spans="6:7" x14ac:dyDescent="0.25">
      <c r="F113">
        <v>100</v>
      </c>
      <c r="G113">
        <v>10</v>
      </c>
    </row>
    <row r="114" spans="6:7" x14ac:dyDescent="0.25">
      <c r="F114">
        <v>96</v>
      </c>
      <c r="G114">
        <v>8</v>
      </c>
    </row>
    <row r="115" spans="6:7" x14ac:dyDescent="0.25">
      <c r="F115">
        <v>585</v>
      </c>
      <c r="G115">
        <v>9</v>
      </c>
    </row>
    <row r="116" spans="6:7" x14ac:dyDescent="0.25">
      <c r="F116">
        <v>510</v>
      </c>
      <c r="G116">
        <v>6</v>
      </c>
    </row>
    <row r="117" spans="6:7" x14ac:dyDescent="0.25">
      <c r="F117">
        <v>28</v>
      </c>
      <c r="G117">
        <v>1</v>
      </c>
    </row>
    <row r="118" spans="6:7" x14ac:dyDescent="0.25">
      <c r="F118">
        <v>220</v>
      </c>
      <c r="G118">
        <v>10</v>
      </c>
    </row>
    <row r="119" spans="6:7" x14ac:dyDescent="0.25">
      <c r="F119">
        <v>45</v>
      </c>
      <c r="G119">
        <v>3</v>
      </c>
    </row>
    <row r="120" spans="6:7" x14ac:dyDescent="0.25">
      <c r="F120">
        <v>162</v>
      </c>
      <c r="G120">
        <v>9</v>
      </c>
    </row>
    <row r="121" spans="6:7" x14ac:dyDescent="0.25">
      <c r="F121">
        <v>100</v>
      </c>
      <c r="G121">
        <v>5</v>
      </c>
    </row>
    <row r="122" spans="6:7" x14ac:dyDescent="0.25">
      <c r="F122">
        <v>200</v>
      </c>
      <c r="G122">
        <v>10</v>
      </c>
    </row>
    <row r="123" spans="6:7" x14ac:dyDescent="0.25">
      <c r="F123">
        <v>880</v>
      </c>
      <c r="G123">
        <v>8</v>
      </c>
    </row>
    <row r="124" spans="6:7" x14ac:dyDescent="0.25">
      <c r="F124">
        <v>240</v>
      </c>
      <c r="G124">
        <v>8</v>
      </c>
    </row>
    <row r="125" spans="6:7" x14ac:dyDescent="0.25">
      <c r="F125">
        <v>90</v>
      </c>
      <c r="G125">
        <v>3</v>
      </c>
    </row>
    <row r="126" spans="6:7" x14ac:dyDescent="0.25">
      <c r="F126">
        <v>252</v>
      </c>
      <c r="G126">
        <v>9</v>
      </c>
    </row>
    <row r="127" spans="6:7" x14ac:dyDescent="0.25">
      <c r="F127">
        <v>44</v>
      </c>
      <c r="G127">
        <v>2</v>
      </c>
    </row>
    <row r="128" spans="6:7" x14ac:dyDescent="0.25">
      <c r="F128">
        <v>1650</v>
      </c>
      <c r="G128">
        <v>6</v>
      </c>
    </row>
    <row r="129" spans="6:7" x14ac:dyDescent="0.25">
      <c r="F129">
        <v>60</v>
      </c>
      <c r="G129">
        <v>4</v>
      </c>
    </row>
    <row r="130" spans="6:7" x14ac:dyDescent="0.25">
      <c r="F130">
        <v>650</v>
      </c>
      <c r="G130">
        <v>10</v>
      </c>
    </row>
    <row r="131" spans="6:7" x14ac:dyDescent="0.25">
      <c r="F131">
        <v>825</v>
      </c>
      <c r="G131">
        <v>3</v>
      </c>
    </row>
    <row r="132" spans="6:7" x14ac:dyDescent="0.25">
      <c r="F132">
        <v>50</v>
      </c>
      <c r="G132">
        <v>5</v>
      </c>
    </row>
    <row r="133" spans="6:7" x14ac:dyDescent="0.25">
      <c r="F133">
        <v>475</v>
      </c>
      <c r="G133">
        <v>5</v>
      </c>
    </row>
    <row r="134" spans="6:7" x14ac:dyDescent="0.25">
      <c r="F134">
        <v>12</v>
      </c>
      <c r="G134">
        <v>1</v>
      </c>
    </row>
    <row r="135" spans="6:7" x14ac:dyDescent="0.25">
      <c r="F135">
        <v>140</v>
      </c>
      <c r="G135">
        <v>5</v>
      </c>
    </row>
    <row r="136" spans="6:7" x14ac:dyDescent="0.25">
      <c r="F136">
        <v>44</v>
      </c>
      <c r="G136">
        <v>2</v>
      </c>
    </row>
    <row r="137" spans="6:7" x14ac:dyDescent="0.25">
      <c r="F137">
        <v>110</v>
      </c>
      <c r="G137">
        <v>1</v>
      </c>
    </row>
    <row r="138" spans="6:7" x14ac:dyDescent="0.25">
      <c r="F138">
        <v>510</v>
      </c>
      <c r="G138">
        <v>6</v>
      </c>
    </row>
    <row r="139" spans="6:7" x14ac:dyDescent="0.25">
      <c r="F139">
        <v>84</v>
      </c>
      <c r="G139">
        <v>7</v>
      </c>
    </row>
    <row r="140" spans="6:7" x14ac:dyDescent="0.25">
      <c r="F140">
        <v>56</v>
      </c>
      <c r="G140">
        <v>2</v>
      </c>
    </row>
    <row r="141" spans="6:7" x14ac:dyDescent="0.25">
      <c r="F141">
        <v>30</v>
      </c>
      <c r="G141">
        <v>2</v>
      </c>
    </row>
    <row r="142" spans="6:7" x14ac:dyDescent="0.25">
      <c r="F142">
        <v>1925</v>
      </c>
      <c r="G142">
        <v>7</v>
      </c>
    </row>
    <row r="143" spans="6:7" x14ac:dyDescent="0.25">
      <c r="F143">
        <v>190</v>
      </c>
      <c r="G143">
        <v>2</v>
      </c>
    </row>
    <row r="144" spans="6:7" x14ac:dyDescent="0.25">
      <c r="F144">
        <v>75</v>
      </c>
      <c r="G144">
        <v>5</v>
      </c>
    </row>
    <row r="145" spans="6:7" x14ac:dyDescent="0.25">
      <c r="F145">
        <v>595</v>
      </c>
      <c r="G145">
        <v>7</v>
      </c>
    </row>
    <row r="146" spans="6:7" x14ac:dyDescent="0.25">
      <c r="F146">
        <v>180</v>
      </c>
      <c r="G146">
        <v>6</v>
      </c>
    </row>
    <row r="147" spans="6:7" x14ac:dyDescent="0.25">
      <c r="F147">
        <v>198</v>
      </c>
      <c r="G147">
        <v>9</v>
      </c>
    </row>
    <row r="148" spans="6:7" x14ac:dyDescent="0.25">
      <c r="F148">
        <v>150</v>
      </c>
      <c r="G148">
        <v>10</v>
      </c>
    </row>
    <row r="149" spans="6:7" x14ac:dyDescent="0.25">
      <c r="F149">
        <v>50</v>
      </c>
      <c r="G149">
        <v>5</v>
      </c>
    </row>
    <row r="150" spans="6:7" x14ac:dyDescent="0.25">
      <c r="F150">
        <v>105</v>
      </c>
      <c r="G150">
        <v>7</v>
      </c>
    </row>
    <row r="151" spans="6:7" x14ac:dyDescent="0.25">
      <c r="F151">
        <v>154</v>
      </c>
      <c r="G151">
        <v>7</v>
      </c>
    </row>
    <row r="152" spans="6:7" x14ac:dyDescent="0.25">
      <c r="F152">
        <v>220</v>
      </c>
      <c r="G152">
        <v>10</v>
      </c>
    </row>
    <row r="153" spans="6:7" x14ac:dyDescent="0.25">
      <c r="F153">
        <v>45</v>
      </c>
      <c r="G153">
        <v>3</v>
      </c>
    </row>
    <row r="154" spans="6:7" x14ac:dyDescent="0.25">
      <c r="F154">
        <v>220</v>
      </c>
      <c r="G154">
        <v>2</v>
      </c>
    </row>
    <row r="155" spans="6:7" x14ac:dyDescent="0.25">
      <c r="F155">
        <v>140</v>
      </c>
      <c r="G155">
        <v>5</v>
      </c>
    </row>
    <row r="156" spans="6:7" x14ac:dyDescent="0.25">
      <c r="F156">
        <v>75</v>
      </c>
      <c r="G156">
        <v>5</v>
      </c>
    </row>
    <row r="157" spans="6:7" x14ac:dyDescent="0.25">
      <c r="F157">
        <v>140</v>
      </c>
      <c r="G157">
        <v>7</v>
      </c>
    </row>
    <row r="158" spans="6:7" x14ac:dyDescent="0.25">
      <c r="F158">
        <v>150</v>
      </c>
      <c r="G158">
        <v>10</v>
      </c>
    </row>
    <row r="159" spans="6:7" x14ac:dyDescent="0.25">
      <c r="F159">
        <v>110</v>
      </c>
      <c r="G159">
        <v>5</v>
      </c>
    </row>
    <row r="160" spans="6:7" x14ac:dyDescent="0.25">
      <c r="F160">
        <v>100</v>
      </c>
      <c r="G160">
        <v>10</v>
      </c>
    </row>
    <row r="161" spans="6:7" x14ac:dyDescent="0.25">
      <c r="F161">
        <v>196</v>
      </c>
      <c r="G161">
        <v>7</v>
      </c>
    </row>
    <row r="162" spans="6:7" x14ac:dyDescent="0.25">
      <c r="F162">
        <v>110</v>
      </c>
      <c r="G162">
        <v>5</v>
      </c>
    </row>
    <row r="163" spans="6:7" x14ac:dyDescent="0.25">
      <c r="F163">
        <v>144</v>
      </c>
      <c r="G163">
        <v>8</v>
      </c>
    </row>
    <row r="164" spans="6:7" x14ac:dyDescent="0.25">
      <c r="F164">
        <v>28</v>
      </c>
      <c r="G164">
        <v>1</v>
      </c>
    </row>
    <row r="165" spans="6:7" x14ac:dyDescent="0.25">
      <c r="F165">
        <v>285</v>
      </c>
      <c r="G165">
        <v>3</v>
      </c>
    </row>
    <row r="166" spans="6:7" x14ac:dyDescent="0.25">
      <c r="F166">
        <v>650</v>
      </c>
      <c r="G166">
        <v>10</v>
      </c>
    </row>
    <row r="167" spans="6:7" x14ac:dyDescent="0.25">
      <c r="F167">
        <v>60</v>
      </c>
      <c r="G167">
        <v>4</v>
      </c>
    </row>
    <row r="168" spans="6:7" x14ac:dyDescent="0.25">
      <c r="F168">
        <v>180</v>
      </c>
      <c r="G168">
        <v>10</v>
      </c>
    </row>
    <row r="169" spans="6:7" x14ac:dyDescent="0.25">
      <c r="F169">
        <v>95</v>
      </c>
      <c r="G169">
        <v>1</v>
      </c>
    </row>
    <row r="170" spans="6:7" x14ac:dyDescent="0.25">
      <c r="F170">
        <v>2750</v>
      </c>
      <c r="G170">
        <v>10</v>
      </c>
    </row>
    <row r="171" spans="6:7" x14ac:dyDescent="0.25">
      <c r="F171">
        <v>60</v>
      </c>
      <c r="G171">
        <v>4</v>
      </c>
    </row>
    <row r="172" spans="6:7" x14ac:dyDescent="0.25">
      <c r="F172">
        <v>330</v>
      </c>
      <c r="G172">
        <v>3</v>
      </c>
    </row>
    <row r="173" spans="6:7" x14ac:dyDescent="0.25">
      <c r="F173">
        <v>28</v>
      </c>
      <c r="G173">
        <v>1</v>
      </c>
    </row>
    <row r="174" spans="6:7" x14ac:dyDescent="0.25">
      <c r="F174">
        <v>1100</v>
      </c>
      <c r="G174">
        <v>10</v>
      </c>
    </row>
    <row r="175" spans="6:7" x14ac:dyDescent="0.25">
      <c r="F175">
        <v>12</v>
      </c>
      <c r="G175">
        <v>1</v>
      </c>
    </row>
    <row r="176" spans="6:7" x14ac:dyDescent="0.25">
      <c r="F176">
        <v>285</v>
      </c>
      <c r="G176">
        <v>3</v>
      </c>
    </row>
    <row r="177" spans="6:7" x14ac:dyDescent="0.25">
      <c r="F177">
        <v>15</v>
      </c>
      <c r="G177">
        <v>1</v>
      </c>
    </row>
    <row r="178" spans="6:7" x14ac:dyDescent="0.25">
      <c r="F178">
        <v>1100</v>
      </c>
      <c r="G178">
        <v>10</v>
      </c>
    </row>
    <row r="179" spans="6:7" x14ac:dyDescent="0.25">
      <c r="F179">
        <v>210</v>
      </c>
      <c r="G179">
        <v>7</v>
      </c>
    </row>
    <row r="180" spans="6:7" x14ac:dyDescent="0.25">
      <c r="F180">
        <v>770</v>
      </c>
      <c r="G180">
        <v>7</v>
      </c>
    </row>
    <row r="181" spans="6:7" x14ac:dyDescent="0.25">
      <c r="F181">
        <v>24</v>
      </c>
      <c r="G181">
        <v>2</v>
      </c>
    </row>
    <row r="182" spans="6:7" x14ac:dyDescent="0.25">
      <c r="F182">
        <v>135</v>
      </c>
      <c r="G182">
        <v>9</v>
      </c>
    </row>
    <row r="183" spans="6:7" x14ac:dyDescent="0.25">
      <c r="F183">
        <v>210</v>
      </c>
      <c r="G183">
        <v>7</v>
      </c>
    </row>
    <row r="184" spans="6:7" x14ac:dyDescent="0.25">
      <c r="F184">
        <v>315</v>
      </c>
      <c r="G184">
        <v>7</v>
      </c>
    </row>
    <row r="185" spans="6:7" x14ac:dyDescent="0.25">
      <c r="F185">
        <v>425</v>
      </c>
      <c r="G185">
        <v>5</v>
      </c>
    </row>
    <row r="186" spans="6:7" x14ac:dyDescent="0.25">
      <c r="F186">
        <v>440</v>
      </c>
      <c r="G186">
        <v>4</v>
      </c>
    </row>
    <row r="187" spans="6:7" x14ac:dyDescent="0.25">
      <c r="F187">
        <v>130</v>
      </c>
      <c r="G187">
        <v>2</v>
      </c>
    </row>
    <row r="188" spans="6:7" x14ac:dyDescent="0.25">
      <c r="F188">
        <v>210</v>
      </c>
      <c r="G188">
        <v>7</v>
      </c>
    </row>
    <row r="189" spans="6:7" x14ac:dyDescent="0.25">
      <c r="F189">
        <v>80</v>
      </c>
      <c r="G189">
        <v>8</v>
      </c>
    </row>
    <row r="190" spans="6:7" x14ac:dyDescent="0.25">
      <c r="F190">
        <v>30</v>
      </c>
      <c r="G190">
        <v>2</v>
      </c>
    </row>
    <row r="191" spans="6:7" x14ac:dyDescent="0.25">
      <c r="F191">
        <v>150</v>
      </c>
      <c r="G191">
        <v>10</v>
      </c>
    </row>
    <row r="192" spans="6:7" x14ac:dyDescent="0.25">
      <c r="F192">
        <v>90</v>
      </c>
      <c r="G192">
        <v>2</v>
      </c>
    </row>
    <row r="193" spans="6:7" x14ac:dyDescent="0.25">
      <c r="F193">
        <v>225</v>
      </c>
      <c r="G193">
        <v>5</v>
      </c>
    </row>
    <row r="194" spans="6:7" x14ac:dyDescent="0.25">
      <c r="F194">
        <v>28</v>
      </c>
      <c r="G194">
        <v>1</v>
      </c>
    </row>
    <row r="195" spans="6:7" x14ac:dyDescent="0.25">
      <c r="F195">
        <v>135</v>
      </c>
      <c r="G195">
        <v>9</v>
      </c>
    </row>
    <row r="196" spans="6:7" x14ac:dyDescent="0.25">
      <c r="F196">
        <v>150</v>
      </c>
      <c r="G196">
        <v>5</v>
      </c>
    </row>
    <row r="197" spans="6:7" x14ac:dyDescent="0.25">
      <c r="F197">
        <v>224</v>
      </c>
      <c r="G197">
        <v>8</v>
      </c>
    </row>
    <row r="198" spans="6:7" x14ac:dyDescent="0.25">
      <c r="F198">
        <v>440</v>
      </c>
      <c r="G198">
        <v>4</v>
      </c>
    </row>
    <row r="199" spans="6:7" x14ac:dyDescent="0.25">
      <c r="F199">
        <v>280</v>
      </c>
      <c r="G199">
        <v>10</v>
      </c>
    </row>
    <row r="200" spans="6:7" x14ac:dyDescent="0.25">
      <c r="F200">
        <v>135</v>
      </c>
      <c r="G200">
        <v>3</v>
      </c>
    </row>
    <row r="201" spans="6:7" x14ac:dyDescent="0.25">
      <c r="F201">
        <v>270</v>
      </c>
      <c r="G201">
        <v>9</v>
      </c>
    </row>
    <row r="202" spans="6:7" x14ac:dyDescent="0.25">
      <c r="F202">
        <v>75</v>
      </c>
      <c r="G202">
        <v>5</v>
      </c>
    </row>
    <row r="203" spans="6:7" x14ac:dyDescent="0.25">
      <c r="F203">
        <v>75</v>
      </c>
      <c r="G203">
        <v>5</v>
      </c>
    </row>
    <row r="204" spans="6:7" x14ac:dyDescent="0.25">
      <c r="F204">
        <v>22</v>
      </c>
      <c r="G204">
        <v>1</v>
      </c>
    </row>
    <row r="205" spans="6:7" x14ac:dyDescent="0.25">
      <c r="F205">
        <v>154</v>
      </c>
      <c r="G205">
        <v>7</v>
      </c>
    </row>
    <row r="206" spans="6:7" x14ac:dyDescent="0.25">
      <c r="F206">
        <v>180</v>
      </c>
      <c r="G206">
        <v>10</v>
      </c>
    </row>
  </sheetData>
  <mergeCells count="12">
    <mergeCell ref="A18:C18"/>
    <mergeCell ref="A19:C23"/>
    <mergeCell ref="B12:C12"/>
    <mergeCell ref="B13:C13"/>
    <mergeCell ref="B14:C14"/>
    <mergeCell ref="B15:C15"/>
    <mergeCell ref="B16:C16"/>
    <mergeCell ref="A1:C1"/>
    <mergeCell ref="A3:C3"/>
    <mergeCell ref="A9:C9"/>
    <mergeCell ref="B10:C10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12" customWidth="1"/>
  </cols>
  <sheetData>
    <row r="1" spans="1:2" x14ac:dyDescent="0.25">
      <c r="A1" s="11" t="s">
        <v>441</v>
      </c>
      <c r="B1" s="11" t="s">
        <v>442</v>
      </c>
    </row>
    <row r="2" spans="1:2" x14ac:dyDescent="0.25">
      <c r="A2" t="s">
        <v>443</v>
      </c>
      <c r="B2">
        <v>126</v>
      </c>
    </row>
    <row r="3" spans="1:2" x14ac:dyDescent="0.25">
      <c r="A3" t="s">
        <v>444</v>
      </c>
      <c r="B3">
        <v>37</v>
      </c>
    </row>
    <row r="4" spans="1:2" x14ac:dyDescent="0.25">
      <c r="A4" t="s">
        <v>445</v>
      </c>
      <c r="B4">
        <v>19</v>
      </c>
    </row>
    <row r="5" spans="1:2" x14ac:dyDescent="0.25">
      <c r="A5" t="s">
        <v>446</v>
      </c>
      <c r="B5">
        <v>10</v>
      </c>
    </row>
    <row r="6" spans="1:2" x14ac:dyDescent="0.25">
      <c r="A6" t="s">
        <v>447</v>
      </c>
      <c r="B6">
        <v>6</v>
      </c>
    </row>
    <row r="7" spans="1:2" x14ac:dyDescent="0.25">
      <c r="A7" t="s">
        <v>448</v>
      </c>
      <c r="B7">
        <v>2</v>
      </c>
    </row>
    <row r="8" spans="1:2" x14ac:dyDescent="0.25">
      <c r="A8" t="s">
        <v>449</v>
      </c>
      <c r="B8">
        <v>0</v>
      </c>
    </row>
    <row r="9" spans="1:2" x14ac:dyDescent="0.25">
      <c r="A9" t="s">
        <v>450</v>
      </c>
      <c r="B9">
        <v>0</v>
      </c>
    </row>
    <row r="10" spans="1:2" x14ac:dyDescent="0.25">
      <c r="A10" t="s">
        <v>451</v>
      </c>
      <c r="B10">
        <v>1</v>
      </c>
    </row>
    <row r="11" spans="1:2" x14ac:dyDescent="0.25">
      <c r="A11" t="s">
        <v>452</v>
      </c>
      <c r="B11">
        <v>1</v>
      </c>
    </row>
    <row r="12" spans="1:2" x14ac:dyDescent="0.25">
      <c r="A12" t="s">
        <v>453</v>
      </c>
      <c r="B12">
        <v>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InstitutionalAssessment_transac</vt:lpstr>
      <vt:lpstr>Descriptive Statistics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1</cp:revision>
  <dcterms:created xsi:type="dcterms:W3CDTF">2026-05-30T05:43:09Z</dcterms:created>
  <dcterms:modified xsi:type="dcterms:W3CDTF">2026-05-30T07:49:29Z</dcterms:modified>
  <dc:language>en-US</dc:language>
</cp:coreProperties>
</file>